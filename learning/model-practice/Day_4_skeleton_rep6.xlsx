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5FFDF6DA66E37B/Documents/"/>
    </mc:Choice>
  </mc:AlternateContent>
  <xr:revisionPtr revIDLastSave="0" documentId="8_{F22F7BED-01A4-420D-858D-E0D11439A769}" xr6:coauthVersionLast="47" xr6:coauthVersionMax="47" xr10:uidLastSave="{00000000-0000-0000-0000-000000000000}"/>
  <bookViews>
    <workbookView xWindow="-108" yWindow="-108" windowWidth="23256" windowHeight="13896" xr2:uid="{72BDA049-DC54-47DF-B1D6-F8A7F79D31B3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8" i="1" l="1"/>
  <c r="E225" i="1"/>
  <c r="F225" i="1" s="1"/>
  <c r="G225" i="1" s="1"/>
  <c r="H225" i="1" s="1"/>
  <c r="I225" i="1" s="1"/>
  <c r="J225" i="1" s="1"/>
  <c r="K225" i="1" s="1"/>
  <c r="L225" i="1" s="1"/>
  <c r="B216" i="1"/>
  <c r="B215" i="1"/>
  <c r="B214" i="1"/>
  <c r="E209" i="1"/>
  <c r="F209" i="1" s="1"/>
  <c r="G209" i="1" s="1"/>
  <c r="H209" i="1" s="1"/>
  <c r="I209" i="1" s="1"/>
  <c r="J209" i="1" s="1"/>
  <c r="K209" i="1" s="1"/>
  <c r="L209" i="1" s="1"/>
  <c r="B199" i="1"/>
  <c r="B198" i="1"/>
  <c r="B197" i="1"/>
  <c r="E194" i="1"/>
  <c r="F194" i="1" s="1"/>
  <c r="G194" i="1" s="1"/>
  <c r="H194" i="1" s="1"/>
  <c r="I194" i="1" s="1"/>
  <c r="J194" i="1" s="1"/>
  <c r="K194" i="1" s="1"/>
  <c r="L194" i="1" s="1"/>
  <c r="B187" i="1"/>
  <c r="B186" i="1"/>
  <c r="B185" i="1"/>
  <c r="B174" i="1"/>
  <c r="B182" i="1" s="1"/>
  <c r="B188" i="1" s="1"/>
  <c r="B173" i="1"/>
  <c r="B172" i="1"/>
  <c r="E170" i="1"/>
  <c r="F170" i="1" s="1"/>
  <c r="G170" i="1" s="1"/>
  <c r="H170" i="1" s="1"/>
  <c r="I170" i="1" s="1"/>
  <c r="J170" i="1" s="1"/>
  <c r="K170" i="1" s="1"/>
  <c r="L170" i="1" s="1"/>
  <c r="B152" i="1"/>
  <c r="B149" i="1"/>
  <c r="B148" i="1"/>
  <c r="E146" i="1"/>
  <c r="F146" i="1" s="1"/>
  <c r="G146" i="1" s="1"/>
  <c r="H146" i="1" s="1"/>
  <c r="I146" i="1" s="1"/>
  <c r="J146" i="1" s="1"/>
  <c r="K146" i="1" s="1"/>
  <c r="L146" i="1" s="1"/>
  <c r="B141" i="1"/>
  <c r="B140" i="1"/>
  <c r="B139" i="1"/>
  <c r="B138" i="1"/>
  <c r="B135" i="1"/>
  <c r="B134" i="1"/>
  <c r="B133" i="1"/>
  <c r="B132" i="1"/>
  <c r="B130" i="1"/>
  <c r="B129" i="1"/>
  <c r="B128" i="1"/>
  <c r="B127" i="1"/>
  <c r="E125" i="1"/>
  <c r="F125" i="1" s="1"/>
  <c r="G125" i="1" s="1"/>
  <c r="H125" i="1" s="1"/>
  <c r="I125" i="1" s="1"/>
  <c r="J125" i="1" s="1"/>
  <c r="K125" i="1" s="1"/>
  <c r="L125" i="1" s="1"/>
  <c r="E94" i="1"/>
  <c r="F94" i="1" s="1"/>
  <c r="G94" i="1" s="1"/>
  <c r="H94" i="1" s="1"/>
  <c r="I94" i="1" s="1"/>
  <c r="J94" i="1" s="1"/>
  <c r="K94" i="1" s="1"/>
  <c r="L94" i="1" s="1"/>
  <c r="F89" i="1"/>
  <c r="G89" i="1"/>
  <c r="H89" i="1"/>
  <c r="I89" i="1"/>
  <c r="J89" i="1"/>
  <c r="K89" i="1"/>
  <c r="L89" i="1"/>
  <c r="E89" i="1"/>
  <c r="E55" i="1"/>
  <c r="F55" i="1" s="1"/>
  <c r="G55" i="1" s="1"/>
  <c r="H55" i="1" s="1"/>
  <c r="I55" i="1" s="1"/>
  <c r="J55" i="1" s="1"/>
  <c r="K55" i="1" s="1"/>
  <c r="L55" i="1" s="1"/>
  <c r="E30" i="1"/>
  <c r="F30" i="1" s="1"/>
  <c r="G30" i="1" s="1"/>
  <c r="H30" i="1" s="1"/>
  <c r="I30" i="1" s="1"/>
  <c r="J30" i="1" s="1"/>
  <c r="K30" i="1" s="1"/>
  <c r="L30" i="1" s="1"/>
  <c r="F4" i="1"/>
  <c r="G4" i="1" s="1"/>
  <c r="H4" i="1" s="1"/>
  <c r="I4" i="1" s="1"/>
  <c r="J4" i="1" s="1"/>
  <c r="K4" i="1" s="1"/>
  <c r="L4" i="1" s="1"/>
  <c r="E4" i="1"/>
</calcChain>
</file>

<file path=xl/sharedStrings.xml><?xml version="1.0" encoding="utf-8"?>
<sst xmlns="http://schemas.openxmlformats.org/spreadsheetml/2006/main" count="139" uniqueCount="117">
  <si>
    <t>Assumption and Drivers</t>
  </si>
  <si>
    <t>Revenue Growth %</t>
  </si>
  <si>
    <t>Gross Margin</t>
  </si>
  <si>
    <t>SG&amp;A (Adjustted for Inflation)</t>
  </si>
  <si>
    <t>R&amp;D (As a % of revenue)</t>
  </si>
  <si>
    <t>Depreciation (As a % of PP&amp;E)</t>
  </si>
  <si>
    <t xml:space="preserve">Effective Tax Rate </t>
  </si>
  <si>
    <t>Capital expenditure (As a % of Revenue)</t>
  </si>
  <si>
    <t>Accounts Recieveable Day</t>
  </si>
  <si>
    <t xml:space="preserve">Inventory Days </t>
  </si>
  <si>
    <t xml:space="preserve">Account Payable Days </t>
  </si>
  <si>
    <t xml:space="preserve">Income Tax Payable Days </t>
  </si>
  <si>
    <t xml:space="preserve">Lonng Term Debt Balance </t>
  </si>
  <si>
    <t xml:space="preserve">Long Term Debt Interest Rate </t>
  </si>
  <si>
    <t xml:space="preserve">Short Term Debt Balance </t>
  </si>
  <si>
    <t xml:space="preserve">Short Term Debt Interest Rate </t>
  </si>
  <si>
    <t xml:space="preserve">Revolver Balance </t>
  </si>
  <si>
    <t xml:space="preserve">Revolver Interest Rate </t>
  </si>
  <si>
    <t>Revolver Continuence Fee</t>
  </si>
  <si>
    <t>Inflation Rate (%)</t>
  </si>
  <si>
    <t>Assume all numbers are in Millions (USD), unless stated otherwise.</t>
  </si>
  <si>
    <t>Common Equity Balance</t>
  </si>
  <si>
    <t xml:space="preserve"> </t>
  </si>
  <si>
    <t xml:space="preserve">Income Statement </t>
  </si>
  <si>
    <t xml:space="preserve">Revenue </t>
  </si>
  <si>
    <t>COGS</t>
  </si>
  <si>
    <t xml:space="preserve">Gorss Profit </t>
  </si>
  <si>
    <t>SG&amp;A</t>
  </si>
  <si>
    <t>R&amp;D</t>
  </si>
  <si>
    <t xml:space="preserve">Dperectiation </t>
  </si>
  <si>
    <t>EBIT</t>
  </si>
  <si>
    <t xml:space="preserve">Interest Expense </t>
  </si>
  <si>
    <t xml:space="preserve">Interest Income </t>
  </si>
  <si>
    <t xml:space="preserve">EBT </t>
  </si>
  <si>
    <t>Taxes</t>
  </si>
  <si>
    <t xml:space="preserve">Net Income </t>
  </si>
  <si>
    <t xml:space="preserve">Dividends </t>
  </si>
  <si>
    <t xml:space="preserve">Retained Earnings </t>
  </si>
  <si>
    <t xml:space="preserve">Current Assets </t>
  </si>
  <si>
    <t xml:space="preserve">Cash </t>
  </si>
  <si>
    <t xml:space="preserve">Account Recieveables </t>
  </si>
  <si>
    <t xml:space="preserve">Inventory </t>
  </si>
  <si>
    <t xml:space="preserve">Total Current Assets </t>
  </si>
  <si>
    <t xml:space="preserve">Non-Current Assets </t>
  </si>
  <si>
    <t xml:space="preserve">PP&amp;E </t>
  </si>
  <si>
    <t xml:space="preserve">Intangibles </t>
  </si>
  <si>
    <t xml:space="preserve">Goodwille </t>
  </si>
  <si>
    <t xml:space="preserve">Total Non-Current Assets </t>
  </si>
  <si>
    <t xml:space="preserve">Total Assets </t>
  </si>
  <si>
    <t>Current Liabilities</t>
  </si>
  <si>
    <t xml:space="preserve">Accounts Payable </t>
  </si>
  <si>
    <t xml:space="preserve">Short Term Debt </t>
  </si>
  <si>
    <t xml:space="preserve">Income taxes Payable </t>
  </si>
  <si>
    <t>Total Current Liabilities</t>
  </si>
  <si>
    <t>Non-Current Liabilities</t>
  </si>
  <si>
    <t xml:space="preserve">Long Term Debt </t>
  </si>
  <si>
    <t>Credit Revolver</t>
  </si>
  <si>
    <t>Total Non-Current Liabilities</t>
  </si>
  <si>
    <t xml:space="preserve">Shareholder Equity </t>
  </si>
  <si>
    <t xml:space="preserve">Common Equity </t>
  </si>
  <si>
    <t xml:space="preserve">retained Earnings </t>
  </si>
  <si>
    <t xml:space="preserve">Total Shareholder Equity </t>
  </si>
  <si>
    <t xml:space="preserve">Total Liabilities and Shareholder Equity </t>
  </si>
  <si>
    <t xml:space="preserve">Balance Check </t>
  </si>
  <si>
    <t xml:space="preserve">Cashflow Statement </t>
  </si>
  <si>
    <t>Balance Sheet</t>
  </si>
  <si>
    <t xml:space="preserve">Depreciationg </t>
  </si>
  <si>
    <t xml:space="preserve">Cashflow From Operating Activites </t>
  </si>
  <si>
    <t xml:space="preserve">Changes in Account Recieveable </t>
  </si>
  <si>
    <t xml:space="preserve">Changes in Inventory </t>
  </si>
  <si>
    <t xml:space="preserve">Changes in Accounts Payable </t>
  </si>
  <si>
    <t xml:space="preserve">Changes in Income taxes Payable </t>
  </si>
  <si>
    <t>Net Change in Cash From Operating Activies</t>
  </si>
  <si>
    <t>Cashflow From Investment Activites</t>
  </si>
  <si>
    <t xml:space="preserve">Capital Expenditrue </t>
  </si>
  <si>
    <t xml:space="preserve">Net Change in Cash From Investing Activiities </t>
  </si>
  <si>
    <t xml:space="preserve">Cashflow From Financing Activies </t>
  </si>
  <si>
    <t>Increase/ (Decrease) in Long Term Debt</t>
  </si>
  <si>
    <t>Increase/ (Decrease) in Short Term Debt</t>
  </si>
  <si>
    <t xml:space="preserve">Increase/ (Decrease) in Revolver Balance </t>
  </si>
  <si>
    <t xml:space="preserve">Offering/ (Buyback) in Common Equity </t>
  </si>
  <si>
    <t xml:space="preserve">Dividiends </t>
  </si>
  <si>
    <t>Net Change in Cash From financing Activities</t>
  </si>
  <si>
    <t xml:space="preserve">Nett Change in Cash </t>
  </si>
  <si>
    <t xml:space="preserve">Beginning Cash balance </t>
  </si>
  <si>
    <t xml:space="preserve">Ending Cash Balance </t>
  </si>
  <si>
    <t xml:space="preserve">Working Capital Schedule </t>
  </si>
  <si>
    <t xml:space="preserve">Changes In </t>
  </si>
  <si>
    <t>Debt  Schedule Part 1</t>
  </si>
  <si>
    <t xml:space="preserve">Long Term Debt Beginning Balance </t>
  </si>
  <si>
    <t xml:space="preserve">Long term Debt Ending Balance </t>
  </si>
  <si>
    <t xml:space="preserve">Long Term Debt Interest expense </t>
  </si>
  <si>
    <t xml:space="preserve">ShortTerm Debt Interest Rate </t>
  </si>
  <si>
    <t xml:space="preserve">Short Term Debt Beginning Balance </t>
  </si>
  <si>
    <t xml:space="preserve">Short term Debt Ending Balance </t>
  </si>
  <si>
    <t xml:space="preserve">Short Term Debt Interest expense </t>
  </si>
  <si>
    <t>Debt  Schedule Part 2</t>
  </si>
  <si>
    <t xml:space="preserve">Revolver beginning Balance </t>
  </si>
  <si>
    <t>Draw</t>
  </si>
  <si>
    <t xml:space="preserve">Repayment </t>
  </si>
  <si>
    <t xml:space="preserve">Ending Revolver Balance </t>
  </si>
  <si>
    <t xml:space="preserve">Reolver Interest Expense </t>
  </si>
  <si>
    <t xml:space="preserve">Total Interest Expense </t>
  </si>
  <si>
    <t>Asset Schedule</t>
  </si>
  <si>
    <t xml:space="preserve">Beginning PP&amp;E Balance </t>
  </si>
  <si>
    <t>Capital Expenditures</t>
  </si>
  <si>
    <t>(Deprectiation)</t>
  </si>
  <si>
    <t>Ending PP&amp;E Balance</t>
  </si>
  <si>
    <t xml:space="preserve">Costs Schedule </t>
  </si>
  <si>
    <t>Inflation</t>
  </si>
  <si>
    <t>Revenue</t>
  </si>
  <si>
    <t xml:space="preserve">COGS </t>
  </si>
  <si>
    <t xml:space="preserve">Equity Schedule </t>
  </si>
  <si>
    <t xml:space="preserve">Beginning Common Equity </t>
  </si>
  <si>
    <t xml:space="preserve">Ending Common Equity </t>
  </si>
  <si>
    <t xml:space="preserve">Beginning Retained Earnings </t>
  </si>
  <si>
    <t>Ending Retained Earniings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</si>
</sst>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&quot;A&quot;"/>
    <numFmt numFmtId="167" formatCode="yyyy&quot;F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dashDotDot">
        <color auto="1"/>
      </left>
      <right/>
      <top style="medium">
        <color auto="1"/>
      </top>
      <bottom/>
      <diagonal/>
    </border>
    <border>
      <left style="dashDotDot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/>
    <xf numFmtId="166" fontId="0" fillId="2" borderId="1" xfId="0" applyNumberFormat="1" applyFill="1" applyBorder="1"/>
    <xf numFmtId="167" fontId="0" fillId="2" borderId="2" xfId="0" applyNumberFormat="1" applyFill="1" applyBorder="1"/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wrapText="1"/>
    </xf>
    <xf numFmtId="0" fontId="0" fillId="0" borderId="5" xfId="0" applyBorder="1"/>
    <xf numFmtId="0" fontId="1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0" xfId="0" applyFont="1"/>
    <xf numFmtId="0" fontId="0" fillId="3" borderId="0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A049-5828-4741-9573-39F01F58BD21}">
  <dimension ref="A2:L234"/>
  <sheetViews>
    <sheetView tabSelected="1" topLeftCell="A210" workbookViewId="0">
      <selection activeCell="C239" sqref="C239"/>
    </sheetView>
  </sheetViews>
  <sheetFormatPr defaultRowHeight="14.4" x14ac:dyDescent="0.3"/>
  <cols>
    <col min="5" max="5" width="9.33203125" bestFit="1" customWidth="1"/>
  </cols>
  <sheetData>
    <row r="2" spans="1:12" x14ac:dyDescent="0.3">
      <c r="A2" t="s">
        <v>22</v>
      </c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B3" s="7" t="s">
        <v>20</v>
      </c>
      <c r="C3" s="7"/>
      <c r="D3" s="7"/>
    </row>
    <row r="4" spans="1:12" ht="15" thickBot="1" x14ac:dyDescent="0.35">
      <c r="B4" s="7"/>
      <c r="C4" s="7"/>
      <c r="D4" s="7"/>
      <c r="E4" s="3">
        <f>DATE(2022,6,30)</f>
        <v>44742</v>
      </c>
      <c r="F4" s="3">
        <f>EDATE(E4,12)</f>
        <v>45107</v>
      </c>
      <c r="G4" s="3">
        <f t="shared" ref="G4:L4" si="0">EDATE(F4,12)</f>
        <v>45473</v>
      </c>
      <c r="H4" s="3">
        <f t="shared" si="0"/>
        <v>45838</v>
      </c>
      <c r="I4" s="4">
        <f t="shared" si="0"/>
        <v>46203</v>
      </c>
      <c r="J4" s="4">
        <f t="shared" si="0"/>
        <v>46568</v>
      </c>
      <c r="K4" s="4">
        <f t="shared" si="0"/>
        <v>46934</v>
      </c>
      <c r="L4" s="4">
        <f t="shared" si="0"/>
        <v>47299</v>
      </c>
    </row>
    <row r="5" spans="1:12" x14ac:dyDescent="0.3">
      <c r="I5" s="5"/>
    </row>
    <row r="6" spans="1:12" x14ac:dyDescent="0.3">
      <c r="B6" t="s">
        <v>1</v>
      </c>
      <c r="I6" s="6"/>
    </row>
    <row r="7" spans="1:12" x14ac:dyDescent="0.3">
      <c r="B7" t="s">
        <v>2</v>
      </c>
      <c r="I7" s="6"/>
    </row>
    <row r="8" spans="1:12" x14ac:dyDescent="0.3">
      <c r="B8" t="s">
        <v>3</v>
      </c>
      <c r="I8" s="6"/>
    </row>
    <row r="9" spans="1:12" x14ac:dyDescent="0.3">
      <c r="B9" t="s">
        <v>4</v>
      </c>
      <c r="I9" s="6"/>
    </row>
    <row r="10" spans="1:12" x14ac:dyDescent="0.3">
      <c r="B10" t="s">
        <v>5</v>
      </c>
      <c r="I10" s="6"/>
    </row>
    <row r="11" spans="1:12" x14ac:dyDescent="0.3">
      <c r="B11" t="s">
        <v>6</v>
      </c>
      <c r="I11" s="6"/>
    </row>
    <row r="12" spans="1:12" x14ac:dyDescent="0.3">
      <c r="B12" t="s">
        <v>7</v>
      </c>
      <c r="I12" s="6"/>
    </row>
    <row r="13" spans="1:12" x14ac:dyDescent="0.3">
      <c r="B13" t="s">
        <v>8</v>
      </c>
      <c r="I13" s="6"/>
    </row>
    <row r="14" spans="1:12" x14ac:dyDescent="0.3">
      <c r="B14" t="s">
        <v>9</v>
      </c>
      <c r="I14" s="6"/>
    </row>
    <row r="15" spans="1:12" x14ac:dyDescent="0.3">
      <c r="B15" t="s">
        <v>10</v>
      </c>
      <c r="I15" s="6"/>
    </row>
    <row r="16" spans="1:12" x14ac:dyDescent="0.3">
      <c r="B16" t="s">
        <v>11</v>
      </c>
      <c r="I16" s="6"/>
    </row>
    <row r="17" spans="2:12" x14ac:dyDescent="0.3">
      <c r="B17" t="s">
        <v>12</v>
      </c>
      <c r="I17" s="6"/>
    </row>
    <row r="18" spans="2:12" x14ac:dyDescent="0.3">
      <c r="B18" t="s">
        <v>13</v>
      </c>
      <c r="I18" s="6"/>
    </row>
    <row r="19" spans="2:12" x14ac:dyDescent="0.3">
      <c r="B19" t="s">
        <v>14</v>
      </c>
      <c r="I19" s="6"/>
    </row>
    <row r="20" spans="2:12" x14ac:dyDescent="0.3">
      <c r="B20" t="s">
        <v>15</v>
      </c>
      <c r="I20" s="6"/>
    </row>
    <row r="21" spans="2:12" x14ac:dyDescent="0.3">
      <c r="B21" t="s">
        <v>16</v>
      </c>
      <c r="I21" s="6"/>
    </row>
    <row r="22" spans="2:12" x14ac:dyDescent="0.3">
      <c r="B22" t="s">
        <v>17</v>
      </c>
      <c r="I22" s="6"/>
    </row>
    <row r="23" spans="2:12" x14ac:dyDescent="0.3">
      <c r="B23" t="s">
        <v>18</v>
      </c>
      <c r="I23" s="6"/>
    </row>
    <row r="24" spans="2:12" x14ac:dyDescent="0.3">
      <c r="B24" t="s">
        <v>21</v>
      </c>
      <c r="I24" s="6"/>
    </row>
    <row r="25" spans="2:12" x14ac:dyDescent="0.3">
      <c r="B25" t="s">
        <v>19</v>
      </c>
      <c r="I25" s="6"/>
    </row>
    <row r="28" spans="2:12" x14ac:dyDescent="0.3">
      <c r="B28" s="2" t="s">
        <v>23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x14ac:dyDescent="0.3">
      <c r="B29" s="7" t="s">
        <v>20</v>
      </c>
      <c r="C29" s="7"/>
      <c r="D29" s="7"/>
    </row>
    <row r="30" spans="2:12" ht="15" thickBot="1" x14ac:dyDescent="0.35">
      <c r="B30" s="7"/>
      <c r="C30" s="7"/>
      <c r="D30" s="7"/>
      <c r="E30" s="3">
        <f>DATE(2022,6,30)</f>
        <v>44742</v>
      </c>
      <c r="F30" s="3">
        <f>EDATE(E30,12)</f>
        <v>45107</v>
      </c>
      <c r="G30" s="3">
        <f t="shared" ref="G30:L30" si="1">EDATE(F30,12)</f>
        <v>45473</v>
      </c>
      <c r="H30" s="3">
        <f t="shared" si="1"/>
        <v>45838</v>
      </c>
      <c r="I30" s="4">
        <f t="shared" si="1"/>
        <v>46203</v>
      </c>
      <c r="J30" s="4">
        <f t="shared" si="1"/>
        <v>46568</v>
      </c>
      <c r="K30" s="4">
        <f t="shared" si="1"/>
        <v>46934</v>
      </c>
      <c r="L30" s="4">
        <f t="shared" si="1"/>
        <v>47299</v>
      </c>
    </row>
    <row r="32" spans="2:12" x14ac:dyDescent="0.3">
      <c r="B32" s="10" t="s">
        <v>24</v>
      </c>
    </row>
    <row r="33" spans="2:12" ht="15" thickBot="1" x14ac:dyDescent="0.35">
      <c r="B33" s="10" t="s">
        <v>25</v>
      </c>
    </row>
    <row r="34" spans="2:12" x14ac:dyDescent="0.3">
      <c r="B34" s="9" t="s">
        <v>26</v>
      </c>
      <c r="E34" s="8"/>
      <c r="F34" s="8"/>
      <c r="G34" s="8"/>
      <c r="H34" s="8"/>
      <c r="I34" s="8"/>
      <c r="J34" s="8"/>
      <c r="K34" s="8"/>
      <c r="L34" s="8"/>
    </row>
    <row r="36" spans="2:12" x14ac:dyDescent="0.3">
      <c r="B36" s="10" t="s">
        <v>27</v>
      </c>
    </row>
    <row r="37" spans="2:12" x14ac:dyDescent="0.3">
      <c r="B37" s="10" t="s">
        <v>28</v>
      </c>
    </row>
    <row r="38" spans="2:12" ht="15" thickBot="1" x14ac:dyDescent="0.35">
      <c r="B38" s="10" t="s">
        <v>29</v>
      </c>
    </row>
    <row r="39" spans="2:12" x14ac:dyDescent="0.3">
      <c r="B39" s="9" t="s">
        <v>30</v>
      </c>
      <c r="E39" s="8"/>
      <c r="F39" s="8"/>
      <c r="G39" s="8"/>
      <c r="H39" s="8"/>
      <c r="I39" s="8"/>
      <c r="J39" s="8"/>
      <c r="K39" s="8"/>
      <c r="L39" s="8"/>
    </row>
    <row r="41" spans="2:12" x14ac:dyDescent="0.3">
      <c r="B41" s="10" t="s">
        <v>31</v>
      </c>
    </row>
    <row r="42" spans="2:12" ht="15" thickBot="1" x14ac:dyDescent="0.35">
      <c r="B42" s="10" t="s">
        <v>32</v>
      </c>
    </row>
    <row r="43" spans="2:12" x14ac:dyDescent="0.3">
      <c r="B43" s="11" t="s">
        <v>33</v>
      </c>
      <c r="E43" s="8"/>
      <c r="F43" s="8"/>
      <c r="G43" s="8"/>
      <c r="H43" s="8"/>
      <c r="I43" s="8"/>
      <c r="J43" s="8"/>
      <c r="K43" s="8"/>
      <c r="L43" s="8"/>
    </row>
    <row r="45" spans="2:12" ht="15" thickBot="1" x14ac:dyDescent="0.35">
      <c r="B45" s="10" t="s">
        <v>34</v>
      </c>
    </row>
    <row r="46" spans="2:12" ht="15" thickBot="1" x14ac:dyDescent="0.35">
      <c r="B46" s="9" t="s">
        <v>35</v>
      </c>
      <c r="E46" s="12"/>
      <c r="F46" s="12"/>
      <c r="G46" s="12"/>
      <c r="H46" s="12"/>
      <c r="I46" s="12"/>
      <c r="J46" s="12"/>
      <c r="K46" s="12"/>
      <c r="L46" s="12"/>
    </row>
    <row r="47" spans="2:12" ht="15" thickTop="1" x14ac:dyDescent="0.3"/>
    <row r="48" spans="2:12" x14ac:dyDescent="0.3">
      <c r="B48" t="s">
        <v>36</v>
      </c>
    </row>
    <row r="50" spans="2:12" x14ac:dyDescent="0.3">
      <c r="B50" s="9" t="s">
        <v>37</v>
      </c>
    </row>
    <row r="53" spans="2:12" x14ac:dyDescent="0.3">
      <c r="B53" s="2" t="s">
        <v>65</v>
      </c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2:12" x14ac:dyDescent="0.3">
      <c r="B54" s="7" t="s">
        <v>20</v>
      </c>
      <c r="C54" s="7"/>
      <c r="D54" s="7"/>
    </row>
    <row r="55" spans="2:12" ht="15" thickBot="1" x14ac:dyDescent="0.35">
      <c r="B55" s="7"/>
      <c r="C55" s="7"/>
      <c r="D55" s="7"/>
      <c r="E55" s="3">
        <f>DATE(2022,6,30)</f>
        <v>44742</v>
      </c>
      <c r="F55" s="3">
        <f>EDATE(E55,12)</f>
        <v>45107</v>
      </c>
      <c r="G55" s="3">
        <f t="shared" ref="G55:L55" si="2">EDATE(F55,12)</f>
        <v>45473</v>
      </c>
      <c r="H55" s="3">
        <f t="shared" si="2"/>
        <v>45838</v>
      </c>
      <c r="I55" s="4">
        <f t="shared" si="2"/>
        <v>46203</v>
      </c>
      <c r="J55" s="4">
        <f t="shared" si="2"/>
        <v>46568</v>
      </c>
      <c r="K55" s="4">
        <f t="shared" si="2"/>
        <v>46934</v>
      </c>
      <c r="L55" s="4">
        <f t="shared" si="2"/>
        <v>47299</v>
      </c>
    </row>
    <row r="57" spans="2:12" x14ac:dyDescent="0.3">
      <c r="B57" t="s">
        <v>38</v>
      </c>
    </row>
    <row r="58" spans="2:12" x14ac:dyDescent="0.3">
      <c r="B58" t="s">
        <v>39</v>
      </c>
    </row>
    <row r="59" spans="2:12" x14ac:dyDescent="0.3">
      <c r="B59" t="s">
        <v>40</v>
      </c>
    </row>
    <row r="60" spans="2:12" ht="15" thickBot="1" x14ac:dyDescent="0.35">
      <c r="B60" t="s">
        <v>41</v>
      </c>
    </row>
    <row r="61" spans="2:12" x14ac:dyDescent="0.3">
      <c r="B61" s="9" t="s">
        <v>42</v>
      </c>
      <c r="E61" s="8"/>
      <c r="F61" s="8"/>
      <c r="G61" s="8"/>
      <c r="H61" s="8"/>
      <c r="I61" s="8"/>
      <c r="J61" s="8"/>
      <c r="K61" s="8"/>
      <c r="L61" s="8"/>
    </row>
    <row r="63" spans="2:12" x14ac:dyDescent="0.3">
      <c r="B63" t="s">
        <v>43</v>
      </c>
    </row>
    <row r="64" spans="2:12" x14ac:dyDescent="0.3">
      <c r="B64" t="s">
        <v>44</v>
      </c>
    </row>
    <row r="65" spans="2:12" x14ac:dyDescent="0.3">
      <c r="B65" t="s">
        <v>45</v>
      </c>
    </row>
    <row r="66" spans="2:12" ht="15" thickBot="1" x14ac:dyDescent="0.35">
      <c r="B66" t="s">
        <v>46</v>
      </c>
    </row>
    <row r="67" spans="2:12" x14ac:dyDescent="0.3">
      <c r="B67" s="9" t="s">
        <v>47</v>
      </c>
      <c r="E67" s="8"/>
      <c r="F67" s="8"/>
      <c r="G67" s="8"/>
      <c r="H67" s="8"/>
      <c r="I67" s="8"/>
      <c r="J67" s="8"/>
      <c r="K67" s="8"/>
      <c r="L67" s="8"/>
    </row>
    <row r="68" spans="2:12" ht="15" thickBot="1" x14ac:dyDescent="0.35"/>
    <row r="69" spans="2:12" x14ac:dyDescent="0.3">
      <c r="B69" s="9" t="s">
        <v>48</v>
      </c>
      <c r="E69" s="8"/>
      <c r="F69" s="8"/>
      <c r="G69" s="8"/>
      <c r="H69" s="8"/>
      <c r="I69" s="8"/>
      <c r="J69" s="8"/>
      <c r="K69" s="8"/>
      <c r="L69" s="8"/>
    </row>
    <row r="71" spans="2:12" x14ac:dyDescent="0.3">
      <c r="B71" s="13" t="s">
        <v>49</v>
      </c>
    </row>
    <row r="72" spans="2:12" x14ac:dyDescent="0.3">
      <c r="B72" s="13" t="s">
        <v>50</v>
      </c>
    </row>
    <row r="73" spans="2:12" x14ac:dyDescent="0.3">
      <c r="B73" s="13" t="s">
        <v>51</v>
      </c>
    </row>
    <row r="74" spans="2:12" x14ac:dyDescent="0.3">
      <c r="B74" s="13" t="s">
        <v>56</v>
      </c>
    </row>
    <row r="75" spans="2:12" ht="15" thickBot="1" x14ac:dyDescent="0.35">
      <c r="B75" s="13" t="s">
        <v>52</v>
      </c>
    </row>
    <row r="76" spans="2:12" x14ac:dyDescent="0.3">
      <c r="B76" s="9" t="s">
        <v>53</v>
      </c>
      <c r="E76" s="8"/>
      <c r="F76" s="8"/>
      <c r="G76" s="8"/>
      <c r="H76" s="8"/>
      <c r="I76" s="8"/>
      <c r="J76" s="8"/>
      <c r="K76" s="8"/>
      <c r="L76" s="8"/>
    </row>
    <row r="78" spans="2:12" x14ac:dyDescent="0.3">
      <c r="B78" t="s">
        <v>54</v>
      </c>
    </row>
    <row r="79" spans="2:12" ht="15" thickBot="1" x14ac:dyDescent="0.35">
      <c r="B79" t="s">
        <v>55</v>
      </c>
    </row>
    <row r="80" spans="2:12" x14ac:dyDescent="0.3">
      <c r="B80" t="s">
        <v>57</v>
      </c>
      <c r="E80" s="8"/>
      <c r="F80" s="8"/>
      <c r="G80" s="8"/>
      <c r="H80" s="8"/>
      <c r="I80" s="8"/>
      <c r="J80" s="8"/>
      <c r="K80" s="8"/>
      <c r="L80" s="8"/>
    </row>
    <row r="82" spans="1:12" x14ac:dyDescent="0.3">
      <c r="B82" t="s">
        <v>58</v>
      </c>
    </row>
    <row r="83" spans="1:12" x14ac:dyDescent="0.3">
      <c r="B83" t="s">
        <v>59</v>
      </c>
    </row>
    <row r="84" spans="1:12" ht="15" thickBot="1" x14ac:dyDescent="0.35">
      <c r="B84" t="s">
        <v>60</v>
      </c>
    </row>
    <row r="85" spans="1:12" x14ac:dyDescent="0.3">
      <c r="B85" t="s">
        <v>61</v>
      </c>
      <c r="E85" s="8"/>
      <c r="F85" s="8"/>
      <c r="G85" s="8"/>
      <c r="H85" s="8"/>
      <c r="I85" s="8"/>
      <c r="J85" s="8"/>
      <c r="K85" s="8"/>
      <c r="L85" s="8"/>
    </row>
    <row r="86" spans="1:12" ht="15" thickBot="1" x14ac:dyDescent="0.35"/>
    <row r="87" spans="1:12" x14ac:dyDescent="0.3">
      <c r="B87" t="s">
        <v>62</v>
      </c>
      <c r="E87" s="8"/>
      <c r="F87" s="8"/>
      <c r="G87" s="8"/>
      <c r="H87" s="8"/>
      <c r="I87" s="8"/>
      <c r="J87" s="8"/>
      <c r="K87" s="8"/>
      <c r="L87" s="8"/>
    </row>
    <row r="89" spans="1:12" x14ac:dyDescent="0.3">
      <c r="B89" t="s">
        <v>63</v>
      </c>
      <c r="E89">
        <f>E69-E87</f>
        <v>0</v>
      </c>
      <c r="F89">
        <f t="shared" ref="F89:L89" si="3">F69-F87</f>
        <v>0</v>
      </c>
      <c r="G89">
        <f t="shared" si="3"/>
        <v>0</v>
      </c>
      <c r="H89">
        <f t="shared" si="3"/>
        <v>0</v>
      </c>
      <c r="I89">
        <f t="shared" si="3"/>
        <v>0</v>
      </c>
      <c r="J89">
        <f t="shared" si="3"/>
        <v>0</v>
      </c>
      <c r="K89">
        <f t="shared" si="3"/>
        <v>0</v>
      </c>
      <c r="L89">
        <f t="shared" si="3"/>
        <v>0</v>
      </c>
    </row>
    <row r="92" spans="1:12" x14ac:dyDescent="0.3">
      <c r="A92" t="s">
        <v>22</v>
      </c>
      <c r="B92" s="2" t="s">
        <v>64</v>
      </c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3">
      <c r="B93" s="7" t="s">
        <v>20</v>
      </c>
      <c r="C93" s="7"/>
      <c r="D93" s="7"/>
    </row>
    <row r="94" spans="1:12" ht="15" thickBot="1" x14ac:dyDescent="0.35">
      <c r="B94" s="7"/>
      <c r="C94" s="7"/>
      <c r="D94" s="7"/>
      <c r="E94" s="3">
        <f>DATE(2022,6,30)</f>
        <v>44742</v>
      </c>
      <c r="F94" s="3">
        <f>EDATE(E94,12)</f>
        <v>45107</v>
      </c>
      <c r="G94" s="3">
        <f t="shared" ref="G94:L94" si="4">EDATE(F94,12)</f>
        <v>45473</v>
      </c>
      <c r="H94" s="3">
        <f t="shared" si="4"/>
        <v>45838</v>
      </c>
      <c r="I94" s="4">
        <f t="shared" si="4"/>
        <v>46203</v>
      </c>
      <c r="J94" s="4">
        <f t="shared" si="4"/>
        <v>46568</v>
      </c>
      <c r="K94" s="4">
        <f t="shared" si="4"/>
        <v>46934</v>
      </c>
      <c r="L94" s="4">
        <f t="shared" si="4"/>
        <v>47299</v>
      </c>
    </row>
    <row r="96" spans="1:12" x14ac:dyDescent="0.3">
      <c r="B96" t="s">
        <v>35</v>
      </c>
    </row>
    <row r="97" spans="2:12" x14ac:dyDescent="0.3">
      <c r="B97" t="s">
        <v>66</v>
      </c>
    </row>
    <row r="99" spans="2:12" x14ac:dyDescent="0.3">
      <c r="B99" t="s">
        <v>67</v>
      </c>
    </row>
    <row r="100" spans="2:12" x14ac:dyDescent="0.3">
      <c r="B100" t="s">
        <v>68</v>
      </c>
    </row>
    <row r="101" spans="2:12" x14ac:dyDescent="0.3">
      <c r="B101" t="s">
        <v>69</v>
      </c>
    </row>
    <row r="102" spans="2:12" x14ac:dyDescent="0.3">
      <c r="B102" t="s">
        <v>70</v>
      </c>
    </row>
    <row r="103" spans="2:12" ht="15" thickBot="1" x14ac:dyDescent="0.35">
      <c r="B103" t="s">
        <v>71</v>
      </c>
    </row>
    <row r="104" spans="2:12" x14ac:dyDescent="0.3">
      <c r="B104" s="9" t="s">
        <v>72</v>
      </c>
      <c r="E104" s="8"/>
      <c r="F104" s="8"/>
      <c r="G104" s="8"/>
      <c r="H104" s="8"/>
      <c r="I104" s="8"/>
      <c r="J104" s="8"/>
      <c r="K104" s="8"/>
      <c r="L104" s="8"/>
    </row>
    <row r="106" spans="2:12" x14ac:dyDescent="0.3">
      <c r="B106" t="s">
        <v>73</v>
      </c>
    </row>
    <row r="107" spans="2:12" ht="15" thickBot="1" x14ac:dyDescent="0.35">
      <c r="B107" t="s">
        <v>74</v>
      </c>
    </row>
    <row r="108" spans="2:12" x14ac:dyDescent="0.3">
      <c r="B108" s="9" t="s">
        <v>75</v>
      </c>
      <c r="E108" s="8"/>
      <c r="F108" s="8"/>
      <c r="G108" s="8"/>
      <c r="H108" s="8"/>
      <c r="I108" s="8"/>
      <c r="J108" s="8"/>
      <c r="K108" s="8"/>
      <c r="L108" s="8"/>
    </row>
    <row r="110" spans="2:12" x14ac:dyDescent="0.3">
      <c r="B110" t="s">
        <v>76</v>
      </c>
    </row>
    <row r="111" spans="2:12" x14ac:dyDescent="0.3">
      <c r="B111" t="s">
        <v>77</v>
      </c>
    </row>
    <row r="112" spans="2:12" x14ac:dyDescent="0.3">
      <c r="B112" t="s">
        <v>78</v>
      </c>
    </row>
    <row r="113" spans="1:12" x14ac:dyDescent="0.3">
      <c r="B113" t="s">
        <v>79</v>
      </c>
    </row>
    <row r="114" spans="1:12" x14ac:dyDescent="0.3">
      <c r="B114" t="s">
        <v>80</v>
      </c>
    </row>
    <row r="115" spans="1:12" ht="15" thickBot="1" x14ac:dyDescent="0.35">
      <c r="B115" t="s">
        <v>81</v>
      </c>
    </row>
    <row r="116" spans="1:12" x14ac:dyDescent="0.3">
      <c r="B116" s="9" t="s">
        <v>82</v>
      </c>
      <c r="E116" s="8"/>
      <c r="F116" s="8"/>
      <c r="G116" s="8"/>
      <c r="H116" s="8"/>
      <c r="I116" s="8"/>
      <c r="J116" s="8"/>
      <c r="K116" s="8"/>
      <c r="L116" s="8"/>
    </row>
    <row r="118" spans="1:12" x14ac:dyDescent="0.3">
      <c r="B118" s="9" t="s">
        <v>83</v>
      </c>
    </row>
    <row r="119" spans="1:12" ht="15" thickBot="1" x14ac:dyDescent="0.35">
      <c r="B119" s="9" t="s">
        <v>84</v>
      </c>
    </row>
    <row r="120" spans="1:12" x14ac:dyDescent="0.3">
      <c r="B120" s="9" t="s">
        <v>85</v>
      </c>
      <c r="E120" s="8"/>
      <c r="F120" s="8"/>
      <c r="G120" s="8"/>
      <c r="H120" s="8"/>
      <c r="I120" s="8"/>
      <c r="J120" s="8"/>
      <c r="K120" s="8"/>
      <c r="L120" s="8"/>
    </row>
    <row r="123" spans="1:12" x14ac:dyDescent="0.3">
      <c r="A123" t="s">
        <v>22</v>
      </c>
      <c r="B123" s="2" t="s">
        <v>86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3">
      <c r="B124" s="7" t="s">
        <v>20</v>
      </c>
      <c r="C124" s="7"/>
      <c r="D124" s="7"/>
    </row>
    <row r="125" spans="1:12" ht="15" thickBot="1" x14ac:dyDescent="0.35">
      <c r="B125" s="7"/>
      <c r="C125" s="7"/>
      <c r="D125" s="7"/>
      <c r="E125" s="3">
        <f>DATE(2022,6,30)</f>
        <v>44742</v>
      </c>
      <c r="F125" s="3">
        <f>EDATE(E125,12)</f>
        <v>45107</v>
      </c>
      <c r="G125" s="3">
        <f t="shared" ref="G125:L125" si="5">EDATE(F125,12)</f>
        <v>45473</v>
      </c>
      <c r="H125" s="3">
        <f t="shared" si="5"/>
        <v>45838</v>
      </c>
      <c r="I125" s="4">
        <f t="shared" si="5"/>
        <v>46203</v>
      </c>
      <c r="J125" s="4">
        <f t="shared" si="5"/>
        <v>46568</v>
      </c>
      <c r="K125" s="4">
        <f t="shared" si="5"/>
        <v>46934</v>
      </c>
      <c r="L125" s="4">
        <f t="shared" si="5"/>
        <v>47299</v>
      </c>
    </row>
    <row r="126" spans="1:12" ht="15" thickBot="1" x14ac:dyDescent="0.35"/>
    <row r="127" spans="1:12" x14ac:dyDescent="0.3">
      <c r="B127" t="str">
        <f>B59</f>
        <v xml:space="preserve">Account Recieveables </v>
      </c>
      <c r="E127" s="15"/>
      <c r="F127" s="16"/>
      <c r="G127" s="16"/>
      <c r="H127" s="16"/>
      <c r="I127" s="16"/>
      <c r="J127" s="16"/>
      <c r="K127" s="16"/>
      <c r="L127" s="17"/>
    </row>
    <row r="128" spans="1:12" x14ac:dyDescent="0.3">
      <c r="B128" t="str">
        <f>B60</f>
        <v xml:space="preserve">Inventory </v>
      </c>
      <c r="E128" s="18"/>
      <c r="F128" s="14"/>
      <c r="G128" s="14"/>
      <c r="H128" s="14"/>
      <c r="I128" s="14"/>
      <c r="J128" s="14"/>
      <c r="K128" s="14"/>
      <c r="L128" s="19"/>
    </row>
    <row r="129" spans="1:12" x14ac:dyDescent="0.3">
      <c r="B129" t="str">
        <f>B72</f>
        <v xml:space="preserve">Accounts Payable </v>
      </c>
      <c r="E129" s="18"/>
      <c r="F129" s="14"/>
      <c r="G129" s="14"/>
      <c r="H129" s="14"/>
      <c r="I129" s="14"/>
      <c r="J129" s="14"/>
      <c r="K129" s="14"/>
      <c r="L129" s="19"/>
    </row>
    <row r="130" spans="1:12" ht="15" thickBot="1" x14ac:dyDescent="0.35">
      <c r="B130" t="str">
        <f>B75</f>
        <v xml:space="preserve">Income taxes Payable </v>
      </c>
      <c r="E130" s="20"/>
      <c r="F130" s="21"/>
      <c r="G130" s="21"/>
      <c r="H130" s="21"/>
      <c r="I130" s="21"/>
      <c r="J130" s="21"/>
      <c r="K130" s="21"/>
      <c r="L130" s="22"/>
    </row>
    <row r="131" spans="1:12" ht="15" thickBot="1" x14ac:dyDescent="0.35"/>
    <row r="132" spans="1:12" x14ac:dyDescent="0.3">
      <c r="B132" t="str">
        <f>B13</f>
        <v>Accounts Recieveable Day</v>
      </c>
      <c r="E132" s="15"/>
      <c r="F132" s="16"/>
      <c r="G132" s="16"/>
      <c r="H132" s="16"/>
      <c r="I132" s="16"/>
      <c r="J132" s="16"/>
      <c r="K132" s="16"/>
      <c r="L132" s="17"/>
    </row>
    <row r="133" spans="1:12" x14ac:dyDescent="0.3">
      <c r="B133" t="str">
        <f t="shared" ref="B133:B135" si="6">B14</f>
        <v xml:space="preserve">Inventory Days </v>
      </c>
      <c r="E133" s="18"/>
      <c r="F133" s="14"/>
      <c r="G133" s="14"/>
      <c r="H133" s="14"/>
      <c r="I133" s="14"/>
      <c r="J133" s="14"/>
      <c r="K133" s="14"/>
      <c r="L133" s="19"/>
    </row>
    <row r="134" spans="1:12" x14ac:dyDescent="0.3">
      <c r="B134" t="str">
        <f t="shared" si="6"/>
        <v xml:space="preserve">Account Payable Days </v>
      </c>
      <c r="E134" s="18"/>
      <c r="F134" s="14"/>
      <c r="G134" s="14"/>
      <c r="H134" s="14"/>
      <c r="I134" s="14"/>
      <c r="J134" s="14"/>
      <c r="K134" s="14"/>
      <c r="L134" s="19"/>
    </row>
    <row r="135" spans="1:12" ht="15" thickBot="1" x14ac:dyDescent="0.35">
      <c r="B135" t="str">
        <f t="shared" si="6"/>
        <v xml:space="preserve">Income Tax Payable Days </v>
      </c>
      <c r="E135" s="20"/>
      <c r="F135" s="21"/>
      <c r="G135" s="21"/>
      <c r="H135" s="21"/>
      <c r="I135" s="21"/>
      <c r="J135" s="21"/>
      <c r="K135" s="21"/>
      <c r="L135" s="22"/>
    </row>
    <row r="137" spans="1:12" ht="15" thickBot="1" x14ac:dyDescent="0.35">
      <c r="B137" t="s">
        <v>87</v>
      </c>
    </row>
    <row r="138" spans="1:12" x14ac:dyDescent="0.3">
      <c r="B138" t="str">
        <f>B127</f>
        <v xml:space="preserve">Account Recieveables </v>
      </c>
      <c r="E138" s="15"/>
      <c r="F138" s="16"/>
      <c r="G138" s="16"/>
      <c r="H138" s="16"/>
      <c r="I138" s="16"/>
      <c r="J138" s="16"/>
      <c r="K138" s="16"/>
      <c r="L138" s="17"/>
    </row>
    <row r="139" spans="1:12" x14ac:dyDescent="0.3">
      <c r="B139" t="str">
        <f t="shared" ref="B139:B141" si="7">B128</f>
        <v xml:space="preserve">Inventory </v>
      </c>
      <c r="E139" s="18"/>
      <c r="F139" s="14"/>
      <c r="G139" s="14"/>
      <c r="H139" s="14"/>
      <c r="I139" s="14"/>
      <c r="J139" s="14"/>
      <c r="K139" s="14"/>
      <c r="L139" s="19"/>
    </row>
    <row r="140" spans="1:12" x14ac:dyDescent="0.3">
      <c r="B140" t="str">
        <f t="shared" si="7"/>
        <v xml:space="preserve">Accounts Payable </v>
      </c>
      <c r="E140" s="18"/>
      <c r="F140" s="14"/>
      <c r="G140" s="14"/>
      <c r="H140" s="14"/>
      <c r="I140" s="14"/>
      <c r="J140" s="14"/>
      <c r="K140" s="14"/>
      <c r="L140" s="19"/>
    </row>
    <row r="141" spans="1:12" ht="15" thickBot="1" x14ac:dyDescent="0.35">
      <c r="B141" t="str">
        <f t="shared" si="7"/>
        <v xml:space="preserve">Income taxes Payable </v>
      </c>
      <c r="E141" s="20"/>
      <c r="F141" s="21"/>
      <c r="G141" s="21"/>
      <c r="H141" s="21"/>
      <c r="I141" s="21"/>
      <c r="J141" s="21"/>
      <c r="K141" s="21"/>
      <c r="L141" s="22"/>
    </row>
    <row r="144" spans="1:12" x14ac:dyDescent="0.3">
      <c r="A144" t="s">
        <v>22</v>
      </c>
      <c r="B144" s="2" t="s">
        <v>88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2:12" x14ac:dyDescent="0.3">
      <c r="B145" s="7" t="s">
        <v>20</v>
      </c>
      <c r="C145" s="7"/>
      <c r="D145" s="7"/>
    </row>
    <row r="146" spans="2:12" ht="15" thickBot="1" x14ac:dyDescent="0.35">
      <c r="B146" s="7"/>
      <c r="C146" s="7"/>
      <c r="D146" s="7"/>
      <c r="E146" s="3">
        <f>DATE(2022,6,30)</f>
        <v>44742</v>
      </c>
      <c r="F146" s="3">
        <f>EDATE(E146,12)</f>
        <v>45107</v>
      </c>
      <c r="G146" s="3">
        <f t="shared" ref="G146:L146" si="8">EDATE(F146,12)</f>
        <v>45473</v>
      </c>
      <c r="H146" s="3">
        <f t="shared" si="8"/>
        <v>45838</v>
      </c>
      <c r="I146" s="4">
        <f t="shared" si="8"/>
        <v>46203</v>
      </c>
      <c r="J146" s="4">
        <f t="shared" si="8"/>
        <v>46568</v>
      </c>
      <c r="K146" s="4">
        <f t="shared" si="8"/>
        <v>46934</v>
      </c>
      <c r="L146" s="4">
        <f t="shared" si="8"/>
        <v>47299</v>
      </c>
    </row>
    <row r="147" spans="2:12" ht="15" thickBot="1" x14ac:dyDescent="0.35"/>
    <row r="148" spans="2:12" x14ac:dyDescent="0.3">
      <c r="B148" t="str">
        <f>B17</f>
        <v xml:space="preserve">Lonng Term Debt Balance </v>
      </c>
      <c r="E148" s="15"/>
      <c r="F148" s="16"/>
      <c r="G148" s="16"/>
      <c r="H148" s="16"/>
      <c r="I148" s="16"/>
      <c r="J148" s="16"/>
      <c r="K148" s="16"/>
      <c r="L148" s="17"/>
    </row>
    <row r="149" spans="2:12" ht="15" thickBot="1" x14ac:dyDescent="0.35">
      <c r="B149" t="str">
        <f>B18</f>
        <v xml:space="preserve">Long Term Debt Interest Rate </v>
      </c>
      <c r="E149" s="20"/>
      <c r="F149" s="21"/>
      <c r="G149" s="21"/>
      <c r="H149" s="21"/>
      <c r="I149" s="21"/>
      <c r="J149" s="21"/>
      <c r="K149" s="21"/>
      <c r="L149" s="22"/>
    </row>
    <row r="151" spans="2:12" x14ac:dyDescent="0.3">
      <c r="B151" t="s">
        <v>89</v>
      </c>
    </row>
    <row r="152" spans="2:12" ht="15" thickBot="1" x14ac:dyDescent="0.35">
      <c r="B152" t="str">
        <f>B111</f>
        <v>Increase/ (Decrease) in Long Term Debt</v>
      </c>
    </row>
    <row r="153" spans="2:12" x14ac:dyDescent="0.3">
      <c r="B153" t="s">
        <v>90</v>
      </c>
      <c r="E153" s="8"/>
      <c r="F153" s="8"/>
      <c r="G153" s="8"/>
      <c r="H153" s="8"/>
      <c r="I153" s="8"/>
      <c r="J153" s="8"/>
      <c r="K153" s="8"/>
      <c r="L153" s="8"/>
    </row>
    <row r="154" spans="2:12" ht="15" thickBot="1" x14ac:dyDescent="0.35"/>
    <row r="155" spans="2:12" ht="15" thickBot="1" x14ac:dyDescent="0.35">
      <c r="B155" t="s">
        <v>91</v>
      </c>
      <c r="E155" s="23"/>
      <c r="F155" s="24"/>
      <c r="G155" s="24"/>
      <c r="H155" s="24"/>
      <c r="I155" s="24"/>
      <c r="J155" s="24"/>
      <c r="K155" s="24"/>
      <c r="L155" s="25"/>
    </row>
    <row r="157" spans="2:12" ht="15" thickBot="1" x14ac:dyDescent="0.35"/>
    <row r="158" spans="2:12" x14ac:dyDescent="0.3">
      <c r="B158" t="s">
        <v>14</v>
      </c>
      <c r="E158" s="15"/>
      <c r="F158" s="16"/>
      <c r="G158" s="16"/>
      <c r="H158" s="16"/>
      <c r="I158" s="16"/>
      <c r="J158" s="16"/>
      <c r="K158" s="16"/>
      <c r="L158" s="17"/>
    </row>
    <row r="159" spans="2:12" ht="15" thickBot="1" x14ac:dyDescent="0.35">
      <c r="B159" t="s">
        <v>92</v>
      </c>
      <c r="E159" s="20"/>
      <c r="F159" s="21"/>
      <c r="G159" s="21"/>
      <c r="H159" s="21"/>
      <c r="I159" s="21"/>
      <c r="J159" s="21"/>
      <c r="K159" s="21"/>
      <c r="L159" s="22"/>
    </row>
    <row r="161" spans="1:12" x14ac:dyDescent="0.3">
      <c r="B161" t="s">
        <v>93</v>
      </c>
    </row>
    <row r="162" spans="1:12" ht="15" thickBot="1" x14ac:dyDescent="0.35">
      <c r="B162" t="s">
        <v>78</v>
      </c>
    </row>
    <row r="163" spans="1:12" x14ac:dyDescent="0.3">
      <c r="B163" t="s">
        <v>94</v>
      </c>
      <c r="E163" s="8"/>
      <c r="F163" s="8"/>
      <c r="G163" s="8"/>
      <c r="H163" s="8"/>
      <c r="I163" s="8"/>
      <c r="J163" s="8"/>
      <c r="K163" s="8"/>
      <c r="L163" s="8"/>
    </row>
    <row r="164" spans="1:12" ht="15" thickBot="1" x14ac:dyDescent="0.35"/>
    <row r="165" spans="1:12" ht="15" thickBot="1" x14ac:dyDescent="0.35">
      <c r="B165" t="s">
        <v>95</v>
      </c>
      <c r="E165" s="23"/>
      <c r="F165" s="24"/>
      <c r="G165" s="24"/>
      <c r="H165" s="24"/>
      <c r="I165" s="24"/>
      <c r="J165" s="24"/>
      <c r="K165" s="24"/>
      <c r="L165" s="25"/>
    </row>
    <row r="168" spans="1:12" x14ac:dyDescent="0.3">
      <c r="A168" t="s">
        <v>22</v>
      </c>
      <c r="B168" s="2" t="s">
        <v>96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3">
      <c r="B169" s="7" t="s">
        <v>20</v>
      </c>
      <c r="C169" s="7"/>
      <c r="D169" s="7"/>
    </row>
    <row r="170" spans="1:12" ht="15" thickBot="1" x14ac:dyDescent="0.35">
      <c r="B170" s="7"/>
      <c r="C170" s="7"/>
      <c r="D170" s="7"/>
      <c r="E170" s="3">
        <f>DATE(2022,6,30)</f>
        <v>44742</v>
      </c>
      <c r="F170" s="3">
        <f>EDATE(E170,12)</f>
        <v>45107</v>
      </c>
      <c r="G170" s="3">
        <f t="shared" ref="G170:L170" si="9">EDATE(F170,12)</f>
        <v>45473</v>
      </c>
      <c r="H170" s="3">
        <f t="shared" si="9"/>
        <v>45838</v>
      </c>
      <c r="I170" s="4">
        <f t="shared" si="9"/>
        <v>46203</v>
      </c>
      <c r="J170" s="4">
        <f t="shared" si="9"/>
        <v>46568</v>
      </c>
      <c r="K170" s="4">
        <f t="shared" si="9"/>
        <v>46934</v>
      </c>
      <c r="L170" s="4">
        <f t="shared" si="9"/>
        <v>47299</v>
      </c>
    </row>
    <row r="171" spans="1:12" ht="15" thickBot="1" x14ac:dyDescent="0.35"/>
    <row r="172" spans="1:12" x14ac:dyDescent="0.3">
      <c r="B172" t="str">
        <f>B21</f>
        <v xml:space="preserve">Revolver Balance </v>
      </c>
      <c r="E172" s="15"/>
      <c r="F172" s="16"/>
      <c r="G172" s="16"/>
      <c r="H172" s="16"/>
      <c r="I172" s="16"/>
      <c r="J172" s="16"/>
      <c r="K172" s="16"/>
      <c r="L172" s="17"/>
    </row>
    <row r="173" spans="1:12" x14ac:dyDescent="0.3">
      <c r="B173" t="str">
        <f t="shared" ref="B173:B174" si="10">B22</f>
        <v xml:space="preserve">Revolver Interest Rate </v>
      </c>
      <c r="E173" s="18"/>
      <c r="F173" s="14"/>
      <c r="G173" s="14"/>
      <c r="H173" s="14"/>
      <c r="I173" s="14"/>
      <c r="J173" s="14"/>
      <c r="K173" s="14"/>
      <c r="L173" s="19"/>
    </row>
    <row r="174" spans="1:12" ht="15" thickBot="1" x14ac:dyDescent="0.35">
      <c r="B174" t="str">
        <f t="shared" si="10"/>
        <v>Revolver Continuence Fee</v>
      </c>
      <c r="E174" s="20"/>
      <c r="F174" s="21"/>
      <c r="G174" s="21"/>
      <c r="H174" s="21"/>
      <c r="I174" s="21"/>
      <c r="J174" s="21"/>
      <c r="K174" s="21"/>
      <c r="L174" s="22"/>
    </row>
    <row r="176" spans="1:12" x14ac:dyDescent="0.3">
      <c r="B176" t="s">
        <v>97</v>
      </c>
    </row>
    <row r="177" spans="1:12" x14ac:dyDescent="0.3">
      <c r="B177" t="s">
        <v>98</v>
      </c>
    </row>
    <row r="178" spans="1:12" ht="15" thickBot="1" x14ac:dyDescent="0.35">
      <c r="B178" t="s">
        <v>99</v>
      </c>
    </row>
    <row r="179" spans="1:12" x14ac:dyDescent="0.3">
      <c r="B179" t="s">
        <v>100</v>
      </c>
      <c r="E179" s="8"/>
      <c r="F179" s="8"/>
      <c r="G179" s="8"/>
      <c r="H179" s="8"/>
      <c r="I179" s="8"/>
      <c r="J179" s="8"/>
      <c r="K179" s="8"/>
      <c r="L179" s="8"/>
    </row>
    <row r="180" spans="1:12" ht="15" thickBot="1" x14ac:dyDescent="0.35"/>
    <row r="181" spans="1:12" x14ac:dyDescent="0.3">
      <c r="B181" t="s">
        <v>101</v>
      </c>
      <c r="E181" s="15"/>
      <c r="F181" s="16"/>
      <c r="G181" s="16"/>
      <c r="H181" s="16"/>
      <c r="I181" s="16"/>
      <c r="J181" s="16"/>
      <c r="K181" s="16"/>
      <c r="L181" s="17"/>
    </row>
    <row r="182" spans="1:12" ht="15" thickBot="1" x14ac:dyDescent="0.35">
      <c r="B182" t="str">
        <f>B174</f>
        <v>Revolver Continuence Fee</v>
      </c>
      <c r="E182" s="20"/>
      <c r="F182" s="21"/>
      <c r="G182" s="21"/>
      <c r="H182" s="21"/>
      <c r="I182" s="21"/>
      <c r="J182" s="21"/>
      <c r="K182" s="21"/>
      <c r="L182" s="22"/>
    </row>
    <row r="185" spans="1:12" x14ac:dyDescent="0.3">
      <c r="B185" t="str">
        <f>B155</f>
        <v xml:space="preserve">Long Term Debt Interest expense </v>
      </c>
    </row>
    <row r="186" spans="1:12" x14ac:dyDescent="0.3">
      <c r="B186" t="str">
        <f>B165</f>
        <v xml:space="preserve">Short Term Debt Interest expense </v>
      </c>
    </row>
    <row r="187" spans="1:12" x14ac:dyDescent="0.3">
      <c r="B187" t="str">
        <f>B181</f>
        <v xml:space="preserve">Reolver Interest Expense </v>
      </c>
    </row>
    <row r="188" spans="1:12" ht="15" thickBot="1" x14ac:dyDescent="0.35">
      <c r="B188" t="str">
        <f>B182</f>
        <v>Revolver Continuence Fee</v>
      </c>
    </row>
    <row r="189" spans="1:12" x14ac:dyDescent="0.3">
      <c r="B189" s="9" t="s">
        <v>102</v>
      </c>
      <c r="E189" s="8"/>
      <c r="F189" s="8"/>
      <c r="G189" s="8"/>
      <c r="H189" s="8"/>
      <c r="I189" s="8"/>
      <c r="J189" s="8"/>
      <c r="K189" s="8"/>
      <c r="L189" s="8"/>
    </row>
    <row r="192" spans="1:12" x14ac:dyDescent="0.3">
      <c r="A192" t="s">
        <v>22</v>
      </c>
      <c r="B192" s="2" t="s">
        <v>103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2:12" x14ac:dyDescent="0.3">
      <c r="B193" s="7" t="s">
        <v>20</v>
      </c>
      <c r="C193" s="7"/>
      <c r="D193" s="7"/>
    </row>
    <row r="194" spans="2:12" ht="15" thickBot="1" x14ac:dyDescent="0.35">
      <c r="B194" s="7"/>
      <c r="C194" s="7"/>
      <c r="D194" s="7"/>
      <c r="E194" s="3">
        <f>DATE(2022,6,30)</f>
        <v>44742</v>
      </c>
      <c r="F194" s="3">
        <f>EDATE(E194,12)</f>
        <v>45107</v>
      </c>
      <c r="G194" s="3">
        <f t="shared" ref="G194:L194" si="11">EDATE(F194,12)</f>
        <v>45473</v>
      </c>
      <c r="H194" s="3">
        <f t="shared" si="11"/>
        <v>45838</v>
      </c>
      <c r="I194" s="4">
        <f t="shared" si="11"/>
        <v>46203</v>
      </c>
      <c r="J194" s="4">
        <f t="shared" si="11"/>
        <v>46568</v>
      </c>
      <c r="K194" s="4">
        <f t="shared" si="11"/>
        <v>46934</v>
      </c>
      <c r="L194" s="4">
        <f t="shared" si="11"/>
        <v>47299</v>
      </c>
    </row>
    <row r="195" spans="2:12" ht="15" thickBot="1" x14ac:dyDescent="0.35"/>
    <row r="196" spans="2:12" x14ac:dyDescent="0.3">
      <c r="B196" t="s">
        <v>24</v>
      </c>
      <c r="E196" s="15"/>
      <c r="F196" s="16"/>
      <c r="G196" s="16"/>
      <c r="H196" s="16"/>
      <c r="I196" s="16"/>
      <c r="J196" s="16"/>
      <c r="K196" s="16"/>
      <c r="L196" s="17"/>
    </row>
    <row r="197" spans="2:12" x14ac:dyDescent="0.3">
      <c r="B197" t="str">
        <f>B64</f>
        <v xml:space="preserve">PP&amp;E </v>
      </c>
      <c r="E197" s="18"/>
      <c r="F197" s="14"/>
      <c r="G197" s="14"/>
      <c r="H197" s="14"/>
      <c r="I197" s="14"/>
      <c r="J197" s="14"/>
      <c r="K197" s="14"/>
      <c r="L197" s="19"/>
    </row>
    <row r="198" spans="2:12" x14ac:dyDescent="0.3">
      <c r="B198" t="str">
        <f>B12</f>
        <v>Capital expenditure (As a % of Revenue)</v>
      </c>
      <c r="E198" s="18"/>
      <c r="F198" s="14"/>
      <c r="G198" s="14"/>
      <c r="H198" s="14"/>
      <c r="I198" s="14"/>
      <c r="J198" s="14"/>
      <c r="K198" s="14"/>
      <c r="L198" s="19"/>
    </row>
    <row r="199" spans="2:12" ht="15" thickBot="1" x14ac:dyDescent="0.35">
      <c r="B199" t="str">
        <f>B10</f>
        <v>Depreciation (As a % of PP&amp;E)</v>
      </c>
      <c r="E199" s="20"/>
      <c r="F199" s="21"/>
      <c r="G199" s="21"/>
      <c r="H199" s="21"/>
      <c r="I199" s="21"/>
      <c r="J199" s="21"/>
      <c r="K199" s="21"/>
      <c r="L199" s="22"/>
    </row>
    <row r="201" spans="2:12" x14ac:dyDescent="0.3">
      <c r="B201" t="s">
        <v>104</v>
      </c>
    </row>
    <row r="202" spans="2:12" x14ac:dyDescent="0.3">
      <c r="B202" t="s">
        <v>105</v>
      </c>
    </row>
    <row r="203" spans="2:12" ht="15" thickBot="1" x14ac:dyDescent="0.35">
      <c r="B203" t="s">
        <v>106</v>
      </c>
    </row>
    <row r="204" spans="2:12" x14ac:dyDescent="0.3">
      <c r="B204" t="s">
        <v>107</v>
      </c>
      <c r="E204" s="8"/>
      <c r="F204" s="8"/>
      <c r="G204" s="8"/>
      <c r="H204" s="8"/>
      <c r="I204" s="8"/>
      <c r="J204" s="8"/>
      <c r="K204" s="8"/>
      <c r="L204" s="8"/>
    </row>
    <row r="207" spans="2:12" x14ac:dyDescent="0.3">
      <c r="B207" s="2" t="s">
        <v>108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2:12" x14ac:dyDescent="0.3">
      <c r="B208" s="7" t="s">
        <v>20</v>
      </c>
      <c r="C208" s="7"/>
      <c r="D208" s="7"/>
    </row>
    <row r="209" spans="2:12" ht="15" thickBot="1" x14ac:dyDescent="0.35">
      <c r="B209" s="7"/>
      <c r="C209" s="7"/>
      <c r="D209" s="7"/>
      <c r="E209" s="3">
        <f>DATE(2022,6,30)</f>
        <v>44742</v>
      </c>
      <c r="F209" s="3">
        <f>EDATE(E209,12)</f>
        <v>45107</v>
      </c>
      <c r="G209" s="3">
        <f t="shared" ref="G209:L209" si="12">EDATE(F209,12)</f>
        <v>45473</v>
      </c>
      <c r="H209" s="3">
        <f t="shared" si="12"/>
        <v>45838</v>
      </c>
      <c r="I209" s="4">
        <f t="shared" si="12"/>
        <v>46203</v>
      </c>
      <c r="J209" s="4">
        <f t="shared" si="12"/>
        <v>46568</v>
      </c>
      <c r="K209" s="4">
        <f t="shared" si="12"/>
        <v>46934</v>
      </c>
      <c r="L209" s="4">
        <f t="shared" si="12"/>
        <v>47299</v>
      </c>
    </row>
    <row r="211" spans="2:12" ht="15" thickBot="1" x14ac:dyDescent="0.35"/>
    <row r="212" spans="2:12" x14ac:dyDescent="0.3">
      <c r="B212" t="s">
        <v>109</v>
      </c>
      <c r="E212" s="15"/>
      <c r="F212" s="16"/>
      <c r="G212" s="16"/>
      <c r="H212" s="16"/>
      <c r="I212" s="16"/>
      <c r="J212" s="16"/>
      <c r="K212" s="16"/>
      <c r="L212" s="17"/>
    </row>
    <row r="213" spans="2:12" x14ac:dyDescent="0.3">
      <c r="B213" t="s">
        <v>110</v>
      </c>
      <c r="E213" s="18"/>
      <c r="F213" s="14"/>
      <c r="G213" s="14"/>
      <c r="H213" s="14"/>
      <c r="I213" s="14"/>
      <c r="J213" s="14"/>
      <c r="K213" s="14"/>
      <c r="L213" s="19"/>
    </row>
    <row r="214" spans="2:12" x14ac:dyDescent="0.3">
      <c r="B214" t="str">
        <f>B7</f>
        <v>Gross Margin</v>
      </c>
      <c r="E214" s="18"/>
      <c r="F214" s="14"/>
      <c r="G214" s="14"/>
      <c r="H214" s="14"/>
      <c r="I214" s="14"/>
      <c r="J214" s="14"/>
      <c r="K214" s="14"/>
      <c r="L214" s="19"/>
    </row>
    <row r="215" spans="2:12" x14ac:dyDescent="0.3">
      <c r="B215" t="str">
        <f t="shared" ref="B215:B216" si="13">B8</f>
        <v>SG&amp;A (Adjustted for Inflation)</v>
      </c>
      <c r="E215" s="18"/>
      <c r="F215" s="14"/>
      <c r="G215" s="14"/>
      <c r="H215" s="14"/>
      <c r="I215" s="14"/>
      <c r="J215" s="14"/>
      <c r="K215" s="14"/>
      <c r="L215" s="19"/>
    </row>
    <row r="216" spans="2:12" ht="15" thickBot="1" x14ac:dyDescent="0.35">
      <c r="B216" t="str">
        <f t="shared" si="13"/>
        <v>R&amp;D (As a % of revenue)</v>
      </c>
      <c r="E216" s="20"/>
      <c r="F216" s="21"/>
      <c r="G216" s="21"/>
      <c r="H216" s="21"/>
      <c r="I216" s="21"/>
      <c r="J216" s="21"/>
      <c r="K216" s="21"/>
      <c r="L216" s="22"/>
    </row>
    <row r="218" spans="2:12" x14ac:dyDescent="0.3">
      <c r="B218" t="s">
        <v>111</v>
      </c>
    </row>
    <row r="219" spans="2:12" x14ac:dyDescent="0.3">
      <c r="B219" t="s">
        <v>27</v>
      </c>
    </row>
    <row r="220" spans="2:12" x14ac:dyDescent="0.3">
      <c r="B220" t="s">
        <v>28</v>
      </c>
    </row>
    <row r="223" spans="2:12" x14ac:dyDescent="0.3">
      <c r="B223" s="2" t="s">
        <v>112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2:12" x14ac:dyDescent="0.3">
      <c r="B224" s="7" t="s">
        <v>20</v>
      </c>
      <c r="C224" s="7"/>
      <c r="D224" s="7"/>
    </row>
    <row r="225" spans="2:12" ht="15" thickBot="1" x14ac:dyDescent="0.35">
      <c r="B225" s="7"/>
      <c r="C225" s="7"/>
      <c r="D225" s="7"/>
      <c r="E225" s="3">
        <f>DATE(2022,6,30)</f>
        <v>44742</v>
      </c>
      <c r="F225" s="3">
        <f>EDATE(E225,12)</f>
        <v>45107</v>
      </c>
      <c r="G225" s="3">
        <f t="shared" ref="G225:L225" si="14">EDATE(F225,12)</f>
        <v>45473</v>
      </c>
      <c r="H225" s="3">
        <f t="shared" si="14"/>
        <v>45838</v>
      </c>
      <c r="I225" s="4">
        <f t="shared" si="14"/>
        <v>46203</v>
      </c>
      <c r="J225" s="4">
        <f t="shared" si="14"/>
        <v>46568</v>
      </c>
      <c r="K225" s="4">
        <f t="shared" si="14"/>
        <v>46934</v>
      </c>
      <c r="L225" s="4">
        <f t="shared" si="14"/>
        <v>47299</v>
      </c>
    </row>
    <row r="227" spans="2:12" x14ac:dyDescent="0.3">
      <c r="B227" t="s">
        <v>113</v>
      </c>
    </row>
    <row r="228" spans="2:12" ht="15" thickBot="1" x14ac:dyDescent="0.35">
      <c r="B228" t="str">
        <f>B114</f>
        <v xml:space="preserve">Offering/ (Buyback) in Common Equity </v>
      </c>
    </row>
    <row r="229" spans="2:12" x14ac:dyDescent="0.3">
      <c r="B229" t="s">
        <v>114</v>
      </c>
      <c r="E229" s="8"/>
      <c r="F229" s="8"/>
      <c r="G229" s="8"/>
      <c r="H229" s="8"/>
      <c r="I229" s="8"/>
      <c r="J229" s="8"/>
      <c r="K229" s="8"/>
      <c r="L229" s="8"/>
    </row>
    <row r="231" spans="2:12" x14ac:dyDescent="0.3">
      <c r="B231" t="s">
        <v>115</v>
      </c>
    </row>
    <row r="232" spans="2:12" x14ac:dyDescent="0.3">
      <c r="B232" t="s">
        <v>35</v>
      </c>
    </row>
    <row r="233" spans="2:12" ht="15" thickBot="1" x14ac:dyDescent="0.35">
      <c r="B233" t="s">
        <v>36</v>
      </c>
    </row>
    <row r="234" spans="2:12" x14ac:dyDescent="0.3">
      <c r="B234" t="s">
        <v>116</v>
      </c>
      <c r="E234" s="8"/>
      <c r="F234" s="8"/>
      <c r="G234" s="8"/>
      <c r="H234" s="8"/>
      <c r="I234" s="8"/>
      <c r="J234" s="8"/>
      <c r="K234" s="8"/>
      <c r="L234" s="8"/>
    </row>
  </sheetData>
  <mergeCells count="10">
    <mergeCell ref="B169:D170"/>
    <mergeCell ref="B193:D194"/>
    <mergeCell ref="B208:D209"/>
    <mergeCell ref="B224:D225"/>
    <mergeCell ref="B3:D4"/>
    <mergeCell ref="B29:D30"/>
    <mergeCell ref="B54:D55"/>
    <mergeCell ref="B93:D94"/>
    <mergeCell ref="B124:D125"/>
    <mergeCell ref="B145:D1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Schwochow</dc:creator>
  <cp:lastModifiedBy>Cole Schwochow</cp:lastModifiedBy>
  <dcterms:created xsi:type="dcterms:W3CDTF">2026-09-02T20:35:41Z</dcterms:created>
  <dcterms:modified xsi:type="dcterms:W3CDTF">2026-09-02T21:42:35Z</dcterms:modified>
</cp:coreProperties>
</file>