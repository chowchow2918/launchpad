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10aa0631eace9/Documents/"/>
    </mc:Choice>
  </mc:AlternateContent>
  <xr:revisionPtr revIDLastSave="313" documentId="8_{5CDFE9B0-4D7B-4813-AAD6-2F6767D5E2DA}" xr6:coauthVersionLast="47" xr6:coauthVersionMax="47" xr10:uidLastSave="{C311F101-05B1-47C8-86D4-45734E6C81A8}"/>
  <bookViews>
    <workbookView xWindow="-120" yWindow="-120" windowWidth="29040" windowHeight="15840" xr2:uid="{B2E01606-2634-4874-B685-808E00E23B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6" i="1" l="1"/>
  <c r="D185" i="1"/>
  <c r="D183" i="1"/>
  <c r="D184" i="1"/>
  <c r="B181" i="1"/>
  <c r="B180" i="1"/>
  <c r="B179" i="1"/>
  <c r="B166" i="1"/>
  <c r="B170" i="1"/>
  <c r="B147" i="1"/>
  <c r="B144" i="1"/>
  <c r="B143" i="1"/>
  <c r="B142" i="1"/>
  <c r="B141" i="1"/>
  <c r="B140" i="1"/>
  <c r="B139" i="1"/>
  <c r="D177" i="1"/>
  <c r="E177" i="1" s="1"/>
  <c r="F177" i="1" s="1"/>
  <c r="G177" i="1" s="1"/>
  <c r="H177" i="1" s="1"/>
  <c r="I177" i="1" s="1"/>
  <c r="J177" i="1" s="1"/>
  <c r="K177" i="1" s="1"/>
  <c r="D163" i="1"/>
  <c r="E163" i="1" s="1"/>
  <c r="F163" i="1" s="1"/>
  <c r="G163" i="1" s="1"/>
  <c r="H163" i="1" s="1"/>
  <c r="I163" i="1" s="1"/>
  <c r="J163" i="1" s="1"/>
  <c r="K163" i="1" s="1"/>
  <c r="D153" i="1"/>
  <c r="E153" i="1" s="1"/>
  <c r="F153" i="1" s="1"/>
  <c r="G153" i="1" s="1"/>
  <c r="H153" i="1" s="1"/>
  <c r="I153" i="1" s="1"/>
  <c r="J153" i="1" s="1"/>
  <c r="K153" i="1" s="1"/>
  <c r="D138" i="1"/>
  <c r="E138" i="1" s="1"/>
  <c r="F138" i="1" s="1"/>
  <c r="G138" i="1" s="1"/>
  <c r="H138" i="1" s="1"/>
  <c r="I138" i="1" s="1"/>
  <c r="J138" i="1" s="1"/>
  <c r="K138" i="1" s="1"/>
  <c r="B131" i="1"/>
  <c r="B132" i="1"/>
  <c r="B133" i="1"/>
  <c r="B130" i="1"/>
  <c r="D122" i="1"/>
  <c r="E122" i="1" s="1"/>
  <c r="F122" i="1" s="1"/>
  <c r="G122" i="1" s="1"/>
  <c r="H122" i="1" s="1"/>
  <c r="I122" i="1" s="1"/>
  <c r="J122" i="1" s="1"/>
  <c r="K122" i="1" s="1"/>
  <c r="D93" i="1"/>
  <c r="E93" i="1" s="1"/>
  <c r="F93" i="1" s="1"/>
  <c r="G93" i="1" s="1"/>
  <c r="H93" i="1" s="1"/>
  <c r="I93" i="1" s="1"/>
  <c r="J93" i="1" s="1"/>
  <c r="K93" i="1" s="1"/>
  <c r="D52" i="1"/>
  <c r="E52" i="1" s="1"/>
  <c r="F52" i="1" s="1"/>
  <c r="G52" i="1" s="1"/>
  <c r="H52" i="1" s="1"/>
  <c r="I52" i="1" s="1"/>
  <c r="J52" i="1" s="1"/>
  <c r="K52" i="1" s="1"/>
  <c r="D27" i="1"/>
  <c r="E27" i="1" s="1"/>
  <c r="F27" i="1" s="1"/>
  <c r="G27" i="1" s="1"/>
  <c r="H27" i="1" s="1"/>
  <c r="I27" i="1" s="1"/>
  <c r="J27" i="1" s="1"/>
  <c r="K27" i="1" s="1"/>
  <c r="D4" i="1"/>
  <c r="E4" i="1" s="1"/>
  <c r="F4" i="1" s="1"/>
  <c r="G4" i="1" s="1"/>
  <c r="H4" i="1" s="1"/>
  <c r="I4" i="1" s="1"/>
  <c r="J4" i="1" s="1"/>
  <c r="K4" i="1" s="1"/>
  <c r="E183" i="1" l="1"/>
</calcChain>
</file>

<file path=xl/sharedStrings.xml><?xml version="1.0" encoding="utf-8"?>
<sst xmlns="http://schemas.openxmlformats.org/spreadsheetml/2006/main" count="118" uniqueCount="99">
  <si>
    <t>COGS</t>
  </si>
  <si>
    <t xml:space="preserve">SG&amp;A </t>
  </si>
  <si>
    <t>R&amp;D</t>
  </si>
  <si>
    <t xml:space="preserve">EBT </t>
  </si>
  <si>
    <t>Taxes</t>
  </si>
  <si>
    <t xml:space="preserve">Net Income </t>
  </si>
  <si>
    <t>Balance Sheet</t>
  </si>
  <si>
    <t xml:space="preserve">Intangibles </t>
  </si>
  <si>
    <t xml:space="preserve">Total Assets </t>
  </si>
  <si>
    <t xml:space="preserve">Accounts Payable </t>
  </si>
  <si>
    <t xml:space="preserve">Short-Term Debt </t>
  </si>
  <si>
    <t>Long-Term Debt</t>
  </si>
  <si>
    <t>Share Capital</t>
  </si>
  <si>
    <t>Total Liabilities</t>
  </si>
  <si>
    <t xml:space="preserve">Depreciation </t>
  </si>
  <si>
    <t>Revenue Growth %</t>
  </si>
  <si>
    <t xml:space="preserve">Inventory Days </t>
  </si>
  <si>
    <t xml:space="preserve">Assumptions and Drivers </t>
  </si>
  <si>
    <t xml:space="preserve">Gross Margin </t>
  </si>
  <si>
    <t>R&amp;A (As a % of Reveneue)</t>
  </si>
  <si>
    <t>Depreciations (As a % of PP&amp;E)</t>
  </si>
  <si>
    <t>CapEx (As a % of Revenue)</t>
  </si>
  <si>
    <t xml:space="preserve">Account Recieveable Days </t>
  </si>
  <si>
    <t xml:space="preserve">Accounts payable days </t>
  </si>
  <si>
    <t xml:space="preserve">Income Tax payable Days </t>
  </si>
  <si>
    <t>Long-term Debt Interest Rate</t>
  </si>
  <si>
    <t xml:space="preserve">Revolver Interest Rates </t>
  </si>
  <si>
    <t xml:space="preserve">Beginning Debt balance </t>
  </si>
  <si>
    <t>Beginning Equity Banlance</t>
  </si>
  <si>
    <t xml:space="preserve">Effective interest rate </t>
  </si>
  <si>
    <t>Dividend (As a % of Net Income)</t>
  </si>
  <si>
    <t>Income Statement</t>
  </si>
  <si>
    <t xml:space="preserve">Revenue </t>
  </si>
  <si>
    <t>Gross Profit</t>
  </si>
  <si>
    <t>Depreciation</t>
  </si>
  <si>
    <t xml:space="preserve">EBIT </t>
  </si>
  <si>
    <t xml:space="preserve">Interest Expense </t>
  </si>
  <si>
    <t>Interest Income</t>
  </si>
  <si>
    <t xml:space="preserve">Dividends </t>
  </si>
  <si>
    <t xml:space="preserve">Retained Earnings </t>
  </si>
  <si>
    <t xml:space="preserve">Current Assets </t>
  </si>
  <si>
    <t xml:space="preserve">Cash and Cash Equivilants </t>
  </si>
  <si>
    <t xml:space="preserve">Accounts Recieveable </t>
  </si>
  <si>
    <t xml:space="preserve">Inventory </t>
  </si>
  <si>
    <t xml:space="preserve">Noncurrent Assets </t>
  </si>
  <si>
    <t xml:space="preserve">Total Current Assets </t>
  </si>
  <si>
    <t xml:space="preserve">PP&amp;E </t>
  </si>
  <si>
    <t xml:space="preserve">Goodwill </t>
  </si>
  <si>
    <t xml:space="preserve">Total Non-current Assets </t>
  </si>
  <si>
    <t xml:space="preserve">Current Liabilities </t>
  </si>
  <si>
    <t>Revolver</t>
  </si>
  <si>
    <t>Total Current Liabilities</t>
  </si>
  <si>
    <t>Non-Current Liabilities</t>
  </si>
  <si>
    <t xml:space="preserve">Total Non-current Liabilities </t>
  </si>
  <si>
    <t xml:space="preserve">Shareholder Equity </t>
  </si>
  <si>
    <t>Total Shareholder Equity</t>
  </si>
  <si>
    <t xml:space="preserve">Total Liabilities and Shareholder Equity </t>
  </si>
  <si>
    <t xml:space="preserve">Balance Check </t>
  </si>
  <si>
    <t xml:space="preserve"> </t>
  </si>
  <si>
    <t>Cashflow Statement</t>
  </si>
  <si>
    <t>Net Income</t>
  </si>
  <si>
    <t xml:space="preserve">Changes in Accounts Recieveable </t>
  </si>
  <si>
    <t>Changes in Inventory</t>
  </si>
  <si>
    <t xml:space="preserve">Changes in Accounts Payable </t>
  </si>
  <si>
    <t xml:space="preserve">Changed in Income Taxes Payable </t>
  </si>
  <si>
    <t xml:space="preserve">Net Change In Cash From Operations </t>
  </si>
  <si>
    <t xml:space="preserve">Cash From Operarations </t>
  </si>
  <si>
    <t>Capital expenditure</t>
  </si>
  <si>
    <t xml:space="preserve">Net Change in Cash From investing </t>
  </si>
  <si>
    <t xml:space="preserve">Cash from Financing </t>
  </si>
  <si>
    <t xml:space="preserve">Offering (repayment) of Debt </t>
  </si>
  <si>
    <t xml:space="preserve">Offering (repayments)of equity </t>
  </si>
  <si>
    <t xml:space="preserve">Net Change in Cash from Financing </t>
  </si>
  <si>
    <t xml:space="preserve">Cash From Investing </t>
  </si>
  <si>
    <t xml:space="preserve">Net Change in Cash </t>
  </si>
  <si>
    <t xml:space="preserve">Beginning Cash balance </t>
  </si>
  <si>
    <t>Ending Cash Balance</t>
  </si>
  <si>
    <t xml:space="preserve">Working Capital Schedule </t>
  </si>
  <si>
    <t>All numbers shown are in units of Millions of $ (USD), unless stated otherwise</t>
  </si>
  <si>
    <t>Account Recieveable</t>
  </si>
  <si>
    <t xml:space="preserve">account Payable </t>
  </si>
  <si>
    <t>Income Taxes Payable</t>
  </si>
  <si>
    <t>Minimum Cash Balance</t>
  </si>
  <si>
    <t>Debt Schedule</t>
  </si>
  <si>
    <t>Asset Schedule</t>
  </si>
  <si>
    <t>Equity Schedule</t>
  </si>
  <si>
    <t>Revolver Schedule</t>
  </si>
  <si>
    <t>Short-term Debt Interest Rate</t>
  </si>
  <si>
    <t xml:space="preserve">Beginning Debt Balance </t>
  </si>
  <si>
    <t>Ending Debt balance</t>
  </si>
  <si>
    <t>Beginning PP&amp;E</t>
  </si>
  <si>
    <t xml:space="preserve">Capital expenditure </t>
  </si>
  <si>
    <t xml:space="preserve"> Ending PP&amp;E</t>
  </si>
  <si>
    <t>Starting Equity balance</t>
  </si>
  <si>
    <t>Ending Equity Balance</t>
  </si>
  <si>
    <t>Draw</t>
  </si>
  <si>
    <t xml:space="preserve">Beginning Revolver Balance </t>
  </si>
  <si>
    <t xml:space="preserve">Repayment </t>
  </si>
  <si>
    <t xml:space="preserve">Ending Revolver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</si>
</sst>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&quot;A&quot;"/>
    <numFmt numFmtId="167" formatCode="yyyy&quot;F&quot;"/>
  </numFmts>
  <fonts count="3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1" xfId="0" applyFont="1" applyFill="1" applyBorder="1" applyAlignment="1"/>
    <xf numFmtId="0" fontId="0" fillId="0" borderId="1" xfId="0" applyFill="1" applyBorder="1" applyAlignment="1"/>
    <xf numFmtId="0" fontId="0" fillId="0" borderId="0" xfId="0" applyFill="1" applyBorder="1" applyAlignment="1"/>
    <xf numFmtId="0" fontId="1" fillId="0" borderId="0" xfId="0" applyFont="1" applyFill="1" applyBorder="1" applyAlignment="1"/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0" fillId="2" borderId="0" xfId="0" applyFill="1" applyBorder="1" applyAlignment="1"/>
    <xf numFmtId="0" fontId="0" fillId="2" borderId="0" xfId="0" applyFill="1"/>
    <xf numFmtId="0" fontId="0" fillId="0" borderId="0" xfId="0" applyFont="1" applyFill="1" applyBorder="1" applyAlignment="1"/>
    <xf numFmtId="0" fontId="0" fillId="0" borderId="0" xfId="0" applyFill="1" applyBorder="1" applyAlignment="1">
      <alignment horizontal="left" indent="1"/>
    </xf>
    <xf numFmtId="0" fontId="0" fillId="0" borderId="0" xfId="0" applyFont="1" applyFill="1" applyBorder="1" applyAlignment="1">
      <alignment horizontal="left" indent="1"/>
    </xf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5" xfId="0" applyBorder="1"/>
    <xf numFmtId="0" fontId="0" fillId="0" borderId="6" xfId="0" applyBorder="1"/>
    <xf numFmtId="0" fontId="1" fillId="0" borderId="0" xfId="0" applyFont="1" applyFill="1" applyBorder="1" applyAlignment="1">
      <alignment horizontal="left" indent="1"/>
    </xf>
    <xf numFmtId="0" fontId="1" fillId="0" borderId="0" xfId="0" applyFont="1" applyFill="1" applyBorder="1" applyAlignment="1">
      <alignment horizontal="left"/>
    </xf>
    <xf numFmtId="0" fontId="0" fillId="3" borderId="4" xfId="0" applyFill="1" applyBorder="1" applyAlignment="1"/>
    <xf numFmtId="0" fontId="0" fillId="3" borderId="5" xfId="0" applyFill="1" applyBorder="1" applyAlignment="1"/>
    <xf numFmtId="0" fontId="0" fillId="3" borderId="5" xfId="0" applyFill="1" applyBorder="1"/>
    <xf numFmtId="0" fontId="0" fillId="3" borderId="6" xfId="0" applyFill="1" applyBorder="1"/>
    <xf numFmtId="166" fontId="1" fillId="2" borderId="2" xfId="0" applyNumberFormat="1" applyFont="1" applyFill="1" applyBorder="1" applyAlignment="1"/>
    <xf numFmtId="167" fontId="1" fillId="2" borderId="3" xfId="0" applyNumberFormat="1" applyFont="1" applyFill="1" applyBorder="1" applyAlignment="1"/>
    <xf numFmtId="0" fontId="2" fillId="0" borderId="0" xfId="0" applyFont="1" applyFill="1" applyBorder="1" applyAlignment="1">
      <alignment horizontal="center" wrapText="1"/>
    </xf>
    <xf numFmtId="166" fontId="1" fillId="0" borderId="0" xfId="0" applyNumberFormat="1" applyFont="1" applyFill="1" applyBorder="1" applyAlignment="1"/>
    <xf numFmtId="167" fontId="1" fillId="0" borderId="0" xfId="0" applyNumberFormat="1" applyFont="1" applyFill="1" applyBorder="1" applyAlignment="1"/>
    <xf numFmtId="166" fontId="1" fillId="0" borderId="1" xfId="0" applyNumberFormat="1" applyFont="1" applyFill="1" applyBorder="1" applyAlignment="1"/>
    <xf numFmtId="167" fontId="1" fillId="0" borderId="1" xfId="0" applyNumberFormat="1" applyFont="1" applyFill="1" applyBorder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A93-5DCA-4751-9283-25DE2EB6CE78}">
  <dimension ref="A1:K186"/>
  <sheetViews>
    <sheetView tabSelected="1" topLeftCell="A162" workbookViewId="0">
      <selection activeCell="A166" sqref="A166"/>
    </sheetView>
  </sheetViews>
  <sheetFormatPr defaultRowHeight="13.5" x14ac:dyDescent="0.25"/>
  <cols>
    <col min="2" max="2" width="32.5703125" bestFit="1" customWidth="1"/>
  </cols>
  <sheetData>
    <row r="1" spans="2:11" x14ac:dyDescent="0.25">
      <c r="B1" s="4"/>
      <c r="C1" s="4"/>
      <c r="D1" s="4"/>
      <c r="E1" s="4"/>
      <c r="F1" s="4"/>
    </row>
    <row r="2" spans="2:11" x14ac:dyDescent="0.25">
      <c r="B2" s="8" t="s">
        <v>17</v>
      </c>
      <c r="C2" s="9"/>
      <c r="D2" s="9"/>
      <c r="E2" s="9"/>
      <c r="F2" s="9"/>
      <c r="G2" s="10"/>
      <c r="H2" s="10"/>
      <c r="I2" s="10"/>
      <c r="J2" s="10"/>
      <c r="K2" s="10"/>
    </row>
    <row r="3" spans="2:11" ht="14.25" thickBot="1" x14ac:dyDescent="0.3">
      <c r="B3" s="4"/>
      <c r="C3" s="4"/>
      <c r="D3" s="4"/>
      <c r="E3" s="4"/>
      <c r="F3" s="4"/>
    </row>
    <row r="4" spans="2:11" ht="14.25" thickBot="1" x14ac:dyDescent="0.3">
      <c r="B4" s="4"/>
      <c r="C4" s="4"/>
      <c r="D4" s="24">
        <f>DATE(2021,9,30)</f>
        <v>44469</v>
      </c>
      <c r="E4" s="24">
        <f>EDATE(D4,12)</f>
        <v>44834</v>
      </c>
      <c r="F4" s="24">
        <f t="shared" ref="F4:K4" si="0">EDATE(E4,12)</f>
        <v>45199</v>
      </c>
      <c r="G4" s="24">
        <f t="shared" si="0"/>
        <v>45565</v>
      </c>
      <c r="H4" s="24">
        <f t="shared" si="0"/>
        <v>45930</v>
      </c>
      <c r="I4" s="25">
        <f t="shared" si="0"/>
        <v>46295</v>
      </c>
      <c r="J4" s="25">
        <f t="shared" si="0"/>
        <v>46660</v>
      </c>
      <c r="K4" s="25">
        <f t="shared" si="0"/>
        <v>47026</v>
      </c>
    </row>
    <row r="5" spans="2:11" x14ac:dyDescent="0.25">
      <c r="B5" s="12" t="s">
        <v>15</v>
      </c>
      <c r="C5" s="4"/>
      <c r="D5" s="4"/>
      <c r="E5" s="4"/>
      <c r="F5" s="4"/>
    </row>
    <row r="6" spans="2:11" x14ac:dyDescent="0.25">
      <c r="B6" s="12" t="s">
        <v>18</v>
      </c>
      <c r="C6" s="4"/>
      <c r="D6" s="4"/>
      <c r="E6" s="4"/>
      <c r="F6" s="4"/>
    </row>
    <row r="7" spans="2:11" x14ac:dyDescent="0.25">
      <c r="B7" s="12" t="s">
        <v>1</v>
      </c>
      <c r="C7" s="4"/>
      <c r="D7" s="4"/>
      <c r="E7" s="4"/>
      <c r="F7" s="4"/>
    </row>
    <row r="8" spans="2:11" x14ac:dyDescent="0.25">
      <c r="B8" s="12" t="s">
        <v>19</v>
      </c>
      <c r="C8" s="4"/>
      <c r="D8" s="4"/>
      <c r="E8" s="4"/>
      <c r="F8" s="4"/>
    </row>
    <row r="9" spans="2:11" x14ac:dyDescent="0.25">
      <c r="B9" s="12" t="s">
        <v>20</v>
      </c>
      <c r="C9" s="4"/>
      <c r="D9" s="4"/>
      <c r="E9" s="4"/>
      <c r="F9" s="4"/>
    </row>
    <row r="10" spans="2:11" x14ac:dyDescent="0.25">
      <c r="B10" s="12" t="s">
        <v>21</v>
      </c>
      <c r="C10" s="4"/>
      <c r="D10" s="4"/>
      <c r="E10" s="4"/>
      <c r="F10" s="4"/>
    </row>
    <row r="11" spans="2:11" x14ac:dyDescent="0.25">
      <c r="B11" s="12" t="s">
        <v>22</v>
      </c>
      <c r="C11" s="4"/>
      <c r="D11" s="4"/>
      <c r="E11" s="4"/>
      <c r="F11" s="4"/>
    </row>
    <row r="12" spans="2:11" x14ac:dyDescent="0.25">
      <c r="B12" s="12" t="s">
        <v>16</v>
      </c>
      <c r="C12" s="4"/>
      <c r="D12" s="4"/>
      <c r="E12" s="4"/>
      <c r="F12" s="4"/>
    </row>
    <row r="13" spans="2:11" x14ac:dyDescent="0.25">
      <c r="B13" s="12" t="s">
        <v>23</v>
      </c>
      <c r="C13" s="4"/>
      <c r="D13" s="4"/>
      <c r="E13" s="4"/>
      <c r="F13" s="4"/>
    </row>
    <row r="14" spans="2:11" x14ac:dyDescent="0.25">
      <c r="B14" s="12" t="s">
        <v>24</v>
      </c>
      <c r="C14" s="4"/>
      <c r="D14" s="4"/>
      <c r="E14" s="4"/>
      <c r="F14" s="4"/>
    </row>
    <row r="15" spans="2:11" x14ac:dyDescent="0.25">
      <c r="B15" s="12" t="s">
        <v>29</v>
      </c>
      <c r="C15" s="4"/>
      <c r="D15" s="4"/>
      <c r="E15" s="4"/>
      <c r="F15" s="4"/>
    </row>
    <row r="16" spans="2:11" x14ac:dyDescent="0.25">
      <c r="B16" s="12" t="s">
        <v>25</v>
      </c>
      <c r="C16" s="4"/>
      <c r="D16" s="4"/>
      <c r="E16" s="4"/>
      <c r="F16" s="4"/>
    </row>
    <row r="17" spans="2:11" x14ac:dyDescent="0.25">
      <c r="B17" s="12" t="s">
        <v>87</v>
      </c>
      <c r="C17" s="4"/>
      <c r="D17" s="4"/>
      <c r="E17" s="4"/>
      <c r="F17" s="4"/>
    </row>
    <row r="18" spans="2:11" x14ac:dyDescent="0.25">
      <c r="B18" s="12" t="s">
        <v>82</v>
      </c>
      <c r="C18" s="4"/>
      <c r="D18" s="4"/>
      <c r="E18" s="4"/>
      <c r="F18" s="4"/>
    </row>
    <row r="19" spans="2:11" x14ac:dyDescent="0.25">
      <c r="B19" s="12" t="s">
        <v>26</v>
      </c>
      <c r="C19" s="4"/>
      <c r="D19" s="4"/>
      <c r="E19" s="4"/>
      <c r="F19" s="4"/>
    </row>
    <row r="20" spans="2:11" x14ac:dyDescent="0.25">
      <c r="B20" s="12" t="s">
        <v>30</v>
      </c>
      <c r="C20" s="4"/>
      <c r="D20" s="4"/>
      <c r="E20" s="4"/>
      <c r="F20" s="4"/>
    </row>
    <row r="21" spans="2:11" x14ac:dyDescent="0.25">
      <c r="B21" s="12" t="s">
        <v>27</v>
      </c>
      <c r="C21" s="4"/>
      <c r="D21" s="4"/>
      <c r="E21" s="4"/>
      <c r="F21" s="4"/>
    </row>
    <row r="22" spans="2:11" x14ac:dyDescent="0.25">
      <c r="B22" s="13" t="s">
        <v>28</v>
      </c>
      <c r="C22" s="4"/>
      <c r="D22" s="4"/>
      <c r="E22" s="4"/>
      <c r="F22" s="4"/>
    </row>
    <row r="23" spans="2:11" x14ac:dyDescent="0.25">
      <c r="B23" s="4"/>
      <c r="C23" s="4"/>
      <c r="D23" s="4"/>
      <c r="E23" s="4"/>
      <c r="F23" s="4"/>
    </row>
    <row r="24" spans="2:11" x14ac:dyDescent="0.25">
      <c r="B24" s="4"/>
      <c r="C24" s="4"/>
      <c r="D24" s="4"/>
      <c r="E24" s="4"/>
      <c r="F24" s="4"/>
    </row>
    <row r="25" spans="2:11" x14ac:dyDescent="0.25">
      <c r="B25" s="8" t="s">
        <v>31</v>
      </c>
      <c r="C25" s="9"/>
      <c r="D25" s="9"/>
      <c r="E25" s="9"/>
      <c r="F25" s="9"/>
      <c r="G25" s="10"/>
      <c r="H25" s="10"/>
      <c r="I25" s="10"/>
      <c r="J25" s="10"/>
      <c r="K25" s="10"/>
    </row>
    <row r="26" spans="2:11" ht="14.25" thickBot="1" x14ac:dyDescent="0.3">
      <c r="B26" s="26" t="s">
        <v>78</v>
      </c>
      <c r="C26" s="4"/>
      <c r="D26" s="4"/>
      <c r="E26" s="4"/>
      <c r="F26" s="4"/>
    </row>
    <row r="27" spans="2:11" ht="14.25" thickBot="1" x14ac:dyDescent="0.3">
      <c r="B27" s="26"/>
      <c r="C27" s="4"/>
      <c r="D27" s="24">
        <f>DATE(2021,9,30)</f>
        <v>44469</v>
      </c>
      <c r="E27" s="24">
        <f>EDATE(D27,12)</f>
        <v>44834</v>
      </c>
      <c r="F27" s="24">
        <f t="shared" ref="F27:K27" si="1">EDATE(E27,12)</f>
        <v>45199</v>
      </c>
      <c r="G27" s="24">
        <f t="shared" si="1"/>
        <v>45565</v>
      </c>
      <c r="H27" s="24">
        <f t="shared" si="1"/>
        <v>45930</v>
      </c>
      <c r="I27" s="25">
        <f t="shared" si="1"/>
        <v>46295</v>
      </c>
      <c r="J27" s="25">
        <f t="shared" si="1"/>
        <v>46660</v>
      </c>
      <c r="K27" s="25">
        <f t="shared" si="1"/>
        <v>47026</v>
      </c>
    </row>
    <row r="28" spans="2:11" x14ac:dyDescent="0.25">
      <c r="B28" s="4"/>
      <c r="C28" s="4"/>
      <c r="D28" s="4"/>
      <c r="E28" s="4"/>
      <c r="F28" s="4"/>
    </row>
    <row r="29" spans="2:11" x14ac:dyDescent="0.25">
      <c r="B29" s="12" t="s">
        <v>32</v>
      </c>
      <c r="C29" s="4"/>
      <c r="D29" s="4"/>
      <c r="E29" s="4"/>
      <c r="F29" s="4"/>
    </row>
    <row r="30" spans="2:11" ht="14.25" thickBot="1" x14ac:dyDescent="0.3">
      <c r="B30" s="12" t="s">
        <v>0</v>
      </c>
      <c r="C30" s="4"/>
      <c r="D30" s="4"/>
      <c r="E30" s="4"/>
      <c r="F30" s="4"/>
    </row>
    <row r="31" spans="2:11" x14ac:dyDescent="0.25">
      <c r="B31" s="5" t="s">
        <v>33</v>
      </c>
      <c r="C31" s="4"/>
      <c r="D31" s="3"/>
      <c r="E31" s="3"/>
      <c r="F31" s="3"/>
      <c r="G31" s="1"/>
      <c r="H31" s="1"/>
      <c r="I31" s="1"/>
      <c r="J31" s="1"/>
      <c r="K31" s="1"/>
    </row>
    <row r="32" spans="2:11" x14ac:dyDescent="0.25">
      <c r="B32" s="4"/>
      <c r="C32" s="4"/>
      <c r="D32" s="4"/>
      <c r="E32" s="4"/>
      <c r="F32" s="4"/>
    </row>
    <row r="33" spans="2:11" x14ac:dyDescent="0.25">
      <c r="B33" s="12" t="s">
        <v>1</v>
      </c>
      <c r="C33" s="4"/>
      <c r="D33" s="4"/>
      <c r="E33" s="4"/>
      <c r="F33" s="4"/>
    </row>
    <row r="34" spans="2:11" x14ac:dyDescent="0.25">
      <c r="B34" s="13" t="s">
        <v>2</v>
      </c>
      <c r="C34" s="4"/>
      <c r="D34" s="4"/>
      <c r="E34" s="4"/>
      <c r="F34" s="4"/>
    </row>
    <row r="35" spans="2:11" ht="14.25" thickBot="1" x14ac:dyDescent="0.3">
      <c r="B35" s="12" t="s">
        <v>34</v>
      </c>
      <c r="C35" s="4"/>
      <c r="D35" s="4"/>
      <c r="E35" s="4"/>
      <c r="F35" s="4"/>
    </row>
    <row r="36" spans="2:11" x14ac:dyDescent="0.25">
      <c r="B36" s="5" t="s">
        <v>35</v>
      </c>
      <c r="C36" s="4"/>
      <c r="D36" s="3"/>
      <c r="E36" s="3"/>
      <c r="F36" s="3"/>
      <c r="G36" s="1"/>
      <c r="H36" s="1"/>
      <c r="I36" s="1"/>
      <c r="J36" s="1"/>
      <c r="K36" s="1"/>
    </row>
    <row r="37" spans="2:11" x14ac:dyDescent="0.25">
      <c r="B37" s="5"/>
      <c r="C37" s="4"/>
      <c r="D37" s="4"/>
      <c r="E37" s="4"/>
      <c r="F37" s="4"/>
    </row>
    <row r="38" spans="2:11" x14ac:dyDescent="0.25">
      <c r="B38" s="12" t="s">
        <v>36</v>
      </c>
      <c r="C38" s="4"/>
      <c r="D38" s="4"/>
      <c r="E38" s="4"/>
      <c r="F38" s="4"/>
    </row>
    <row r="39" spans="2:11" ht="14.25" thickBot="1" x14ac:dyDescent="0.3">
      <c r="B39" s="12" t="s">
        <v>37</v>
      </c>
      <c r="C39" s="4"/>
      <c r="D39" s="4"/>
      <c r="E39" s="4"/>
      <c r="F39" s="4"/>
    </row>
    <row r="40" spans="2:11" x14ac:dyDescent="0.25">
      <c r="B40" s="5" t="s">
        <v>3</v>
      </c>
      <c r="C40" s="4"/>
      <c r="D40" s="3"/>
      <c r="E40" s="3"/>
      <c r="F40" s="3"/>
      <c r="G40" s="1"/>
      <c r="H40" s="1"/>
      <c r="I40" s="1"/>
      <c r="J40" s="1"/>
      <c r="K40" s="1"/>
    </row>
    <row r="41" spans="2:11" x14ac:dyDescent="0.25">
      <c r="B41" s="4"/>
      <c r="C41" s="4"/>
      <c r="D41" s="4"/>
      <c r="E41" s="4"/>
      <c r="F41" s="4"/>
    </row>
    <row r="42" spans="2:11" ht="14.25" thickBot="1" x14ac:dyDescent="0.3">
      <c r="B42" s="12" t="s">
        <v>4</v>
      </c>
      <c r="C42" s="4"/>
      <c r="D42" s="4"/>
      <c r="E42" s="4"/>
      <c r="F42" s="4"/>
    </row>
    <row r="43" spans="2:11" x14ac:dyDescent="0.25">
      <c r="B43" s="5" t="s">
        <v>5</v>
      </c>
      <c r="C43" s="4"/>
      <c r="D43" s="3"/>
      <c r="E43" s="3"/>
      <c r="F43" s="3"/>
      <c r="G43" s="1"/>
      <c r="H43" s="1"/>
      <c r="I43" s="1"/>
      <c r="J43" s="1"/>
      <c r="K43" s="1"/>
    </row>
    <row r="44" spans="2:11" x14ac:dyDescent="0.25">
      <c r="B44" s="4"/>
      <c r="C44" s="4"/>
      <c r="D44" s="4"/>
      <c r="E44" s="4"/>
      <c r="F44" s="4"/>
    </row>
    <row r="45" spans="2:11" x14ac:dyDescent="0.25">
      <c r="B45" s="4" t="s">
        <v>38</v>
      </c>
      <c r="C45" s="4"/>
      <c r="D45" s="4"/>
      <c r="E45" s="4"/>
      <c r="F45" s="4"/>
    </row>
    <row r="46" spans="2:11" x14ac:dyDescent="0.25">
      <c r="B46" s="5"/>
      <c r="C46" s="4"/>
      <c r="D46" s="4"/>
      <c r="E46" s="4"/>
      <c r="F46" s="4"/>
    </row>
    <row r="47" spans="2:11" x14ac:dyDescent="0.25">
      <c r="B47" s="4" t="s">
        <v>39</v>
      </c>
      <c r="C47" s="4"/>
      <c r="D47" s="14"/>
      <c r="E47" s="15"/>
      <c r="F47" s="15"/>
      <c r="G47" s="16"/>
      <c r="H47" s="16"/>
      <c r="I47" s="16"/>
      <c r="J47" s="16"/>
      <c r="K47" s="17"/>
    </row>
    <row r="48" spans="2:11" x14ac:dyDescent="0.25">
      <c r="B48" s="4"/>
      <c r="C48" s="4"/>
      <c r="D48" s="4"/>
      <c r="E48" s="4"/>
      <c r="F48" s="4"/>
    </row>
    <row r="49" spans="1:11" x14ac:dyDescent="0.25">
      <c r="B49" s="4"/>
      <c r="C49" s="4"/>
      <c r="D49" s="4"/>
      <c r="E49" s="4"/>
      <c r="F49" s="4"/>
    </row>
    <row r="50" spans="1:11" x14ac:dyDescent="0.25">
      <c r="A50" t="s">
        <v>58</v>
      </c>
      <c r="B50" s="8" t="s">
        <v>6</v>
      </c>
      <c r="C50" s="9"/>
      <c r="D50" s="9"/>
      <c r="E50" s="9"/>
      <c r="F50" s="9"/>
      <c r="G50" s="10"/>
      <c r="H50" s="10"/>
      <c r="I50" s="10"/>
      <c r="J50" s="10"/>
      <c r="K50" s="10"/>
    </row>
    <row r="51" spans="1:11" ht="14.25" thickBot="1" x14ac:dyDescent="0.3">
      <c r="B51" s="26" t="s">
        <v>78</v>
      </c>
      <c r="C51" s="4"/>
      <c r="D51" s="4"/>
      <c r="E51" s="4"/>
      <c r="F51" s="4"/>
    </row>
    <row r="52" spans="1:11" ht="14.25" thickBot="1" x14ac:dyDescent="0.3">
      <c r="B52" s="26"/>
      <c r="C52" s="4"/>
      <c r="D52" s="24">
        <f>DATE(2021,9,30)</f>
        <v>44469</v>
      </c>
      <c r="E52" s="24">
        <f>EDATE(D52,12)</f>
        <v>44834</v>
      </c>
      <c r="F52" s="24">
        <f t="shared" ref="F52:K52" si="2">EDATE(E52,12)</f>
        <v>45199</v>
      </c>
      <c r="G52" s="24">
        <f t="shared" si="2"/>
        <v>45565</v>
      </c>
      <c r="H52" s="24">
        <f t="shared" si="2"/>
        <v>45930</v>
      </c>
      <c r="I52" s="25">
        <f t="shared" si="2"/>
        <v>46295</v>
      </c>
      <c r="J52" s="25">
        <f t="shared" si="2"/>
        <v>46660</v>
      </c>
      <c r="K52" s="25">
        <f t="shared" si="2"/>
        <v>47026</v>
      </c>
    </row>
    <row r="53" spans="1:11" x14ac:dyDescent="0.25">
      <c r="B53" s="4"/>
      <c r="C53" s="4"/>
      <c r="D53" s="27"/>
      <c r="E53" s="27"/>
      <c r="F53" s="27"/>
      <c r="G53" s="27"/>
      <c r="H53" s="27"/>
      <c r="I53" s="28"/>
      <c r="J53" s="28"/>
      <c r="K53" s="28"/>
    </row>
    <row r="54" spans="1:11" x14ac:dyDescent="0.25">
      <c r="B54" s="4" t="s">
        <v>40</v>
      </c>
      <c r="C54" s="4"/>
      <c r="D54" s="4"/>
      <c r="E54" s="4"/>
      <c r="F54" s="4"/>
    </row>
    <row r="55" spans="1:11" x14ac:dyDescent="0.25">
      <c r="B55" s="12" t="s">
        <v>41</v>
      </c>
      <c r="C55" s="4"/>
      <c r="D55" s="4"/>
      <c r="E55" s="4"/>
      <c r="F55" s="4"/>
    </row>
    <row r="56" spans="1:11" x14ac:dyDescent="0.25">
      <c r="B56" s="12" t="s">
        <v>42</v>
      </c>
      <c r="C56" s="4"/>
      <c r="D56" s="4"/>
      <c r="E56" s="4"/>
      <c r="F56" s="4"/>
    </row>
    <row r="57" spans="1:11" ht="14.25" thickBot="1" x14ac:dyDescent="0.3">
      <c r="B57" s="12" t="s">
        <v>43</v>
      </c>
      <c r="C57" s="4"/>
      <c r="D57" s="4"/>
      <c r="E57" s="4"/>
      <c r="F57" s="4"/>
    </row>
    <row r="58" spans="1:11" x14ac:dyDescent="0.25">
      <c r="B58" s="5" t="s">
        <v>45</v>
      </c>
      <c r="C58" s="4"/>
      <c r="D58" s="3"/>
      <c r="E58" s="3"/>
      <c r="F58" s="3"/>
      <c r="G58" s="1"/>
      <c r="H58" s="1"/>
      <c r="I58" s="1"/>
      <c r="J58" s="1"/>
      <c r="K58" s="1"/>
    </row>
    <row r="59" spans="1:11" x14ac:dyDescent="0.25">
      <c r="B59" s="4"/>
      <c r="C59" s="4"/>
      <c r="D59" s="4"/>
      <c r="E59" s="4"/>
      <c r="F59" s="4"/>
    </row>
    <row r="60" spans="1:11" x14ac:dyDescent="0.25">
      <c r="B60" s="4" t="s">
        <v>44</v>
      </c>
      <c r="C60" s="4"/>
      <c r="D60" s="4"/>
      <c r="E60" s="4"/>
      <c r="F60" s="4"/>
    </row>
    <row r="61" spans="1:11" x14ac:dyDescent="0.25">
      <c r="B61" s="12" t="s">
        <v>46</v>
      </c>
      <c r="C61" s="4"/>
      <c r="D61" s="4"/>
      <c r="E61" s="4"/>
      <c r="F61" s="4"/>
    </row>
    <row r="62" spans="1:11" x14ac:dyDescent="0.25">
      <c r="B62" s="13" t="s">
        <v>47</v>
      </c>
      <c r="C62" s="4"/>
      <c r="D62" s="4"/>
      <c r="E62" s="4"/>
      <c r="F62" s="4"/>
    </row>
    <row r="63" spans="1:11" ht="14.25" thickBot="1" x14ac:dyDescent="0.3">
      <c r="B63" s="12" t="s">
        <v>7</v>
      </c>
      <c r="C63" s="4"/>
      <c r="D63" s="4"/>
      <c r="E63" s="4"/>
      <c r="F63" s="4"/>
    </row>
    <row r="64" spans="1:11" x14ac:dyDescent="0.25">
      <c r="B64" s="5" t="s">
        <v>48</v>
      </c>
      <c r="C64" s="4"/>
      <c r="D64" s="3"/>
      <c r="E64" s="3"/>
      <c r="F64" s="3"/>
      <c r="G64" s="1"/>
      <c r="H64" s="1"/>
      <c r="I64" s="1"/>
      <c r="J64" s="1"/>
      <c r="K64" s="1"/>
    </row>
    <row r="65" spans="2:11" ht="14.25" thickBot="1" x14ac:dyDescent="0.3">
      <c r="B65" s="4"/>
      <c r="C65" s="4"/>
      <c r="D65" s="4"/>
      <c r="E65" s="4"/>
      <c r="F65" s="4"/>
    </row>
    <row r="66" spans="2:11" x14ac:dyDescent="0.25">
      <c r="B66" s="19" t="s">
        <v>8</v>
      </c>
      <c r="C66" s="4"/>
      <c r="D66" s="3"/>
      <c r="E66" s="3"/>
      <c r="F66" s="3"/>
      <c r="G66" s="1"/>
      <c r="H66" s="1"/>
      <c r="I66" s="1"/>
      <c r="J66" s="1"/>
      <c r="K66" s="1"/>
    </row>
    <row r="67" spans="2:11" x14ac:dyDescent="0.25">
      <c r="B67" s="4"/>
      <c r="C67" s="4"/>
      <c r="D67" s="4"/>
      <c r="E67" s="4"/>
      <c r="F67" s="4"/>
    </row>
    <row r="68" spans="2:11" x14ac:dyDescent="0.25">
      <c r="B68" s="4" t="s">
        <v>49</v>
      </c>
      <c r="C68" s="4"/>
      <c r="D68" s="4"/>
      <c r="E68" s="4"/>
      <c r="F68" s="4"/>
    </row>
    <row r="69" spans="2:11" x14ac:dyDescent="0.25">
      <c r="B69" s="12" t="s">
        <v>9</v>
      </c>
      <c r="C69" s="4"/>
      <c r="D69" s="4"/>
      <c r="E69" s="4"/>
      <c r="F69" s="4"/>
    </row>
    <row r="70" spans="2:11" x14ac:dyDescent="0.25">
      <c r="B70" s="13" t="s">
        <v>10</v>
      </c>
      <c r="C70" s="4"/>
      <c r="D70" s="4"/>
      <c r="E70" s="4"/>
      <c r="F70" s="4"/>
    </row>
    <row r="71" spans="2:11" ht="14.25" thickBot="1" x14ac:dyDescent="0.3">
      <c r="B71" s="12" t="s">
        <v>50</v>
      </c>
      <c r="C71" s="4"/>
      <c r="D71" s="4"/>
      <c r="E71" s="4"/>
      <c r="F71" s="4"/>
    </row>
    <row r="72" spans="2:11" x14ac:dyDescent="0.25">
      <c r="B72" s="5" t="s">
        <v>51</v>
      </c>
      <c r="C72" s="4"/>
      <c r="D72" s="3"/>
      <c r="E72" s="3"/>
      <c r="F72" s="3"/>
      <c r="G72" s="1"/>
      <c r="H72" s="1"/>
      <c r="I72" s="1"/>
      <c r="J72" s="1"/>
      <c r="K72" s="1"/>
    </row>
    <row r="73" spans="2:11" x14ac:dyDescent="0.25">
      <c r="B73" s="4"/>
      <c r="C73" s="4"/>
      <c r="D73" s="4"/>
      <c r="E73" s="4"/>
      <c r="F73" s="4"/>
    </row>
    <row r="74" spans="2:11" x14ac:dyDescent="0.25">
      <c r="B74" s="6" t="s">
        <v>52</v>
      </c>
      <c r="C74" s="4"/>
      <c r="D74" s="4"/>
      <c r="E74" s="4"/>
      <c r="F74" s="4"/>
    </row>
    <row r="75" spans="2:11" ht="14.25" thickBot="1" x14ac:dyDescent="0.3">
      <c r="B75" s="13" t="s">
        <v>11</v>
      </c>
      <c r="C75" s="4"/>
      <c r="D75" s="4"/>
      <c r="E75" s="4"/>
      <c r="F75" s="4"/>
    </row>
    <row r="76" spans="2:11" x14ac:dyDescent="0.25">
      <c r="B76" s="5" t="s">
        <v>53</v>
      </c>
      <c r="C76" s="4"/>
      <c r="D76" s="3"/>
      <c r="E76" s="3"/>
      <c r="F76" s="3"/>
      <c r="G76" s="1"/>
      <c r="H76" s="1"/>
      <c r="I76" s="1"/>
      <c r="J76" s="1"/>
      <c r="K76" s="1"/>
    </row>
    <row r="77" spans="2:11" ht="14.25" thickBot="1" x14ac:dyDescent="0.3">
      <c r="B77" s="5"/>
      <c r="C77" s="4"/>
      <c r="D77" s="4"/>
      <c r="E77" s="4"/>
      <c r="F77" s="4"/>
    </row>
    <row r="78" spans="2:11" x14ac:dyDescent="0.25">
      <c r="B78" s="19" t="s">
        <v>13</v>
      </c>
      <c r="C78" s="4"/>
      <c r="D78" s="3"/>
      <c r="E78" s="3"/>
      <c r="F78" s="3"/>
      <c r="G78" s="1"/>
      <c r="H78" s="1"/>
      <c r="I78" s="1"/>
      <c r="J78" s="1"/>
      <c r="K78" s="1"/>
    </row>
    <row r="79" spans="2:11" x14ac:dyDescent="0.25">
      <c r="B79" s="4"/>
      <c r="C79" s="4"/>
      <c r="D79" s="4"/>
      <c r="E79" s="4"/>
      <c r="F79" s="4"/>
    </row>
    <row r="80" spans="2:11" x14ac:dyDescent="0.25">
      <c r="B80" s="11" t="s">
        <v>54</v>
      </c>
      <c r="C80" s="4"/>
      <c r="D80" s="4"/>
      <c r="E80" s="4"/>
      <c r="F80" s="4"/>
    </row>
    <row r="81" spans="1:11" x14ac:dyDescent="0.25">
      <c r="B81" s="12" t="s">
        <v>12</v>
      </c>
      <c r="C81" s="4"/>
      <c r="D81" s="4"/>
      <c r="E81" s="4"/>
      <c r="F81" s="4"/>
    </row>
    <row r="82" spans="1:11" x14ac:dyDescent="0.25">
      <c r="B82" s="12" t="s">
        <v>38</v>
      </c>
      <c r="C82" s="4"/>
      <c r="D82" s="4"/>
      <c r="E82" s="4"/>
      <c r="F82" s="4"/>
    </row>
    <row r="83" spans="1:11" ht="14.25" thickBot="1" x14ac:dyDescent="0.3">
      <c r="B83" s="12" t="s">
        <v>39</v>
      </c>
      <c r="C83" s="4"/>
      <c r="D83" s="4"/>
      <c r="E83" s="4"/>
      <c r="F83" s="4"/>
    </row>
    <row r="84" spans="1:11" x14ac:dyDescent="0.25">
      <c r="B84" s="5" t="s">
        <v>55</v>
      </c>
      <c r="C84" s="4"/>
      <c r="D84" s="3"/>
      <c r="E84" s="3"/>
      <c r="F84" s="3"/>
      <c r="G84" s="1"/>
      <c r="H84" s="1"/>
      <c r="I84" s="1"/>
      <c r="J84" s="1"/>
      <c r="K84" s="1"/>
    </row>
    <row r="85" spans="1:11" ht="14.25" thickBot="1" x14ac:dyDescent="0.3">
      <c r="B85" s="4"/>
      <c r="C85" s="4"/>
      <c r="D85" s="4"/>
      <c r="E85" s="4"/>
      <c r="F85" s="4"/>
    </row>
    <row r="86" spans="1:11" x14ac:dyDescent="0.25">
      <c r="B86" s="18" t="s">
        <v>56</v>
      </c>
      <c r="C86" s="4"/>
      <c r="D86" s="3"/>
      <c r="E86" s="3"/>
      <c r="F86" s="3"/>
      <c r="G86" s="1"/>
      <c r="H86" s="1"/>
      <c r="I86" s="1"/>
      <c r="J86" s="1"/>
      <c r="K86" s="1"/>
    </row>
    <row r="87" spans="1:11" x14ac:dyDescent="0.25">
      <c r="B87" s="4"/>
      <c r="C87" s="4"/>
      <c r="D87" s="4"/>
      <c r="E87" s="4"/>
      <c r="F87" s="4"/>
    </row>
    <row r="88" spans="1:11" x14ac:dyDescent="0.25">
      <c r="B88" s="4" t="s">
        <v>57</v>
      </c>
      <c r="C88" s="4"/>
      <c r="D88" s="20"/>
      <c r="E88" s="21"/>
      <c r="F88" s="21"/>
      <c r="G88" s="22"/>
      <c r="H88" s="22"/>
      <c r="I88" s="22"/>
      <c r="J88" s="22"/>
      <c r="K88" s="23"/>
    </row>
    <row r="89" spans="1:11" x14ac:dyDescent="0.25">
      <c r="B89" s="4"/>
      <c r="C89" s="4"/>
      <c r="D89" s="4"/>
      <c r="E89" s="4"/>
      <c r="F89" s="4"/>
    </row>
    <row r="90" spans="1:11" x14ac:dyDescent="0.25">
      <c r="B90" s="4"/>
      <c r="C90" s="4"/>
      <c r="D90" s="4"/>
      <c r="E90" s="4"/>
      <c r="F90" s="4"/>
    </row>
    <row r="91" spans="1:11" x14ac:dyDescent="0.25">
      <c r="A91" t="s">
        <v>58</v>
      </c>
      <c r="B91" s="8" t="s">
        <v>59</v>
      </c>
      <c r="C91" s="9"/>
      <c r="D91" s="9"/>
      <c r="E91" s="9"/>
      <c r="F91" s="9"/>
      <c r="G91" s="10"/>
      <c r="H91" s="10"/>
      <c r="I91" s="10"/>
      <c r="J91" s="10"/>
      <c r="K91" s="10"/>
    </row>
    <row r="92" spans="1:11" ht="14.25" thickBot="1" x14ac:dyDescent="0.3">
      <c r="B92" s="26" t="s">
        <v>78</v>
      </c>
      <c r="C92" s="4"/>
      <c r="D92" s="4"/>
      <c r="E92" s="4"/>
      <c r="F92" s="4"/>
    </row>
    <row r="93" spans="1:11" ht="14.25" thickBot="1" x14ac:dyDescent="0.3">
      <c r="B93" s="26"/>
      <c r="C93" s="4"/>
      <c r="D93" s="24">
        <f>DATE(2021,9,30)</f>
        <v>44469</v>
      </c>
      <c r="E93" s="24">
        <f>EDATE(D93,12)</f>
        <v>44834</v>
      </c>
      <c r="F93" s="24">
        <f t="shared" ref="F93:K93" si="3">EDATE(E93,12)</f>
        <v>45199</v>
      </c>
      <c r="G93" s="24">
        <f t="shared" si="3"/>
        <v>45565</v>
      </c>
      <c r="H93" s="24">
        <f t="shared" si="3"/>
        <v>45930</v>
      </c>
      <c r="I93" s="25">
        <f t="shared" si="3"/>
        <v>46295</v>
      </c>
      <c r="J93" s="25">
        <f t="shared" si="3"/>
        <v>46660</v>
      </c>
      <c r="K93" s="25">
        <f t="shared" si="3"/>
        <v>47026</v>
      </c>
    </row>
    <row r="94" spans="1:11" x14ac:dyDescent="0.25">
      <c r="B94" s="4"/>
      <c r="C94" s="4"/>
      <c r="D94" s="4"/>
      <c r="E94" s="4"/>
      <c r="F94" s="4"/>
    </row>
    <row r="95" spans="1:11" x14ac:dyDescent="0.25">
      <c r="B95" s="4" t="s">
        <v>60</v>
      </c>
      <c r="C95" s="4"/>
      <c r="D95" s="4"/>
      <c r="E95" s="4"/>
      <c r="F95" s="4"/>
    </row>
    <row r="96" spans="1:11" x14ac:dyDescent="0.25">
      <c r="B96" s="11" t="s">
        <v>14</v>
      </c>
      <c r="C96" s="4"/>
      <c r="D96" s="4"/>
      <c r="E96" s="4"/>
      <c r="F96" s="4"/>
    </row>
    <row r="97" spans="2:11" x14ac:dyDescent="0.25">
      <c r="B97" s="4"/>
      <c r="C97" s="4"/>
      <c r="D97" s="4"/>
      <c r="E97" s="4"/>
      <c r="F97" s="4"/>
    </row>
    <row r="98" spans="2:11" x14ac:dyDescent="0.25">
      <c r="B98" s="4" t="s">
        <v>66</v>
      </c>
      <c r="C98" s="4"/>
      <c r="D98" s="4"/>
      <c r="E98" s="4"/>
      <c r="F98" s="4"/>
    </row>
    <row r="99" spans="2:11" x14ac:dyDescent="0.25">
      <c r="B99" s="12" t="s">
        <v>61</v>
      </c>
      <c r="C99" s="4"/>
      <c r="D99" s="4"/>
      <c r="E99" s="4"/>
      <c r="F99" s="4"/>
    </row>
    <row r="100" spans="2:11" x14ac:dyDescent="0.25">
      <c r="B100" s="12" t="s">
        <v>62</v>
      </c>
      <c r="C100" s="4"/>
      <c r="D100" s="4"/>
      <c r="E100" s="4"/>
      <c r="F100" s="4"/>
    </row>
    <row r="101" spans="2:11" x14ac:dyDescent="0.25">
      <c r="B101" s="13" t="s">
        <v>63</v>
      </c>
      <c r="C101" s="4"/>
      <c r="D101" s="4"/>
      <c r="E101" s="4"/>
      <c r="F101" s="4"/>
    </row>
    <row r="102" spans="2:11" ht="14.25" thickBot="1" x14ac:dyDescent="0.3">
      <c r="B102" s="13" t="s">
        <v>64</v>
      </c>
      <c r="C102" s="4"/>
      <c r="D102" s="4"/>
      <c r="E102" s="4"/>
      <c r="F102" s="4"/>
    </row>
    <row r="103" spans="2:11" x14ac:dyDescent="0.25">
      <c r="B103" s="18" t="s">
        <v>65</v>
      </c>
      <c r="C103" s="4"/>
      <c r="D103" s="2"/>
      <c r="E103" s="3"/>
      <c r="F103" s="3"/>
      <c r="G103" s="1"/>
      <c r="H103" s="1"/>
      <c r="I103" s="1"/>
      <c r="J103" s="1"/>
      <c r="K103" s="1"/>
    </row>
    <row r="104" spans="2:11" x14ac:dyDescent="0.25">
      <c r="B104" s="4"/>
      <c r="C104" s="4"/>
      <c r="D104" s="4"/>
      <c r="E104" s="4"/>
      <c r="F104" s="4"/>
    </row>
    <row r="105" spans="2:11" x14ac:dyDescent="0.25">
      <c r="B105" s="11" t="s">
        <v>73</v>
      </c>
      <c r="C105" s="4"/>
      <c r="D105" s="4"/>
      <c r="E105" s="4"/>
      <c r="F105" s="4"/>
    </row>
    <row r="106" spans="2:11" ht="14.25" thickBot="1" x14ac:dyDescent="0.3">
      <c r="B106" s="13" t="s">
        <v>67</v>
      </c>
      <c r="C106" s="4"/>
      <c r="D106" s="4"/>
      <c r="E106" s="4"/>
      <c r="F106" s="4"/>
    </row>
    <row r="107" spans="2:11" x14ac:dyDescent="0.25">
      <c r="B107" s="5" t="s">
        <v>68</v>
      </c>
      <c r="C107" s="5"/>
      <c r="D107" s="2"/>
      <c r="E107" s="3"/>
      <c r="F107" s="3"/>
      <c r="G107" s="1"/>
      <c r="H107" s="1"/>
      <c r="I107" s="1"/>
      <c r="J107" s="1"/>
      <c r="K107" s="1"/>
    </row>
    <row r="108" spans="2:11" x14ac:dyDescent="0.25">
      <c r="B108" s="4"/>
      <c r="C108" s="7"/>
      <c r="D108" s="7"/>
      <c r="E108" s="4"/>
      <c r="F108" s="4"/>
    </row>
    <row r="109" spans="2:11" x14ac:dyDescent="0.25">
      <c r="B109" s="4" t="s">
        <v>69</v>
      </c>
      <c r="C109" s="4"/>
      <c r="D109" s="4"/>
      <c r="E109" s="4"/>
      <c r="F109" s="4"/>
    </row>
    <row r="110" spans="2:11" x14ac:dyDescent="0.25">
      <c r="B110" s="12" t="s">
        <v>70</v>
      </c>
      <c r="C110" s="4"/>
      <c r="D110" s="4"/>
      <c r="E110" s="4"/>
      <c r="F110" s="4"/>
    </row>
    <row r="111" spans="2:11" x14ac:dyDescent="0.25">
      <c r="B111" s="12" t="s">
        <v>71</v>
      </c>
      <c r="C111" s="4"/>
      <c r="D111" s="4"/>
      <c r="E111" s="4"/>
      <c r="F111" s="4"/>
    </row>
    <row r="112" spans="2:11" ht="14.25" thickBot="1" x14ac:dyDescent="0.3">
      <c r="B112" s="12" t="s">
        <v>38</v>
      </c>
      <c r="C112" s="4"/>
      <c r="D112" s="4"/>
      <c r="E112" s="4"/>
      <c r="F112" s="4"/>
    </row>
    <row r="113" spans="1:11" x14ac:dyDescent="0.25">
      <c r="B113" s="5" t="s">
        <v>72</v>
      </c>
      <c r="C113" s="4"/>
      <c r="D113" s="2"/>
      <c r="E113" s="3"/>
      <c r="F113" s="3"/>
      <c r="G113" s="1"/>
      <c r="H113" s="1"/>
      <c r="I113" s="1"/>
      <c r="J113" s="1"/>
      <c r="K113" s="1"/>
    </row>
    <row r="114" spans="1:11" x14ac:dyDescent="0.25">
      <c r="B114" s="4"/>
      <c r="C114" s="4"/>
      <c r="D114" s="4"/>
      <c r="E114" s="4"/>
      <c r="F114" s="4"/>
    </row>
    <row r="115" spans="1:11" x14ac:dyDescent="0.25">
      <c r="B115" s="12" t="s">
        <v>74</v>
      </c>
      <c r="C115" s="4"/>
      <c r="D115" s="4"/>
      <c r="E115" s="4"/>
      <c r="F115" s="4"/>
    </row>
    <row r="116" spans="1:11" ht="14.25" thickBot="1" x14ac:dyDescent="0.3">
      <c r="B116" s="12" t="s">
        <v>75</v>
      </c>
      <c r="C116" s="4"/>
      <c r="D116" s="4"/>
      <c r="E116" s="4"/>
      <c r="F116" s="4"/>
    </row>
    <row r="117" spans="1:11" x14ac:dyDescent="0.25">
      <c r="B117" s="18" t="s">
        <v>76</v>
      </c>
      <c r="C117" s="4"/>
      <c r="D117" s="3"/>
      <c r="E117" s="3"/>
      <c r="F117" s="3"/>
      <c r="G117" s="1"/>
      <c r="H117" s="1"/>
      <c r="I117" s="1"/>
      <c r="J117" s="1"/>
      <c r="K117" s="1"/>
    </row>
    <row r="118" spans="1:11" x14ac:dyDescent="0.25">
      <c r="B118" s="4"/>
      <c r="C118" s="4"/>
      <c r="D118" s="4"/>
      <c r="E118" s="4"/>
      <c r="F118" s="4"/>
    </row>
    <row r="119" spans="1:11" x14ac:dyDescent="0.25">
      <c r="B119" s="4"/>
      <c r="C119" s="4"/>
      <c r="D119" s="4"/>
      <c r="E119" s="4"/>
      <c r="F119" s="4"/>
    </row>
    <row r="120" spans="1:11" x14ac:dyDescent="0.25">
      <c r="A120" t="s">
        <v>58</v>
      </c>
      <c r="B120" s="8" t="s">
        <v>77</v>
      </c>
      <c r="C120" s="9"/>
      <c r="D120" s="9"/>
      <c r="E120" s="9"/>
      <c r="F120" s="9"/>
      <c r="G120" s="10"/>
      <c r="H120" s="10"/>
      <c r="I120" s="10"/>
      <c r="J120" s="10"/>
      <c r="K120" s="10"/>
    </row>
    <row r="121" spans="1:11" ht="14.25" thickBot="1" x14ac:dyDescent="0.3">
      <c r="B121" s="4"/>
      <c r="C121" s="4"/>
      <c r="D121" s="4"/>
      <c r="E121" s="4"/>
      <c r="F121" s="4"/>
    </row>
    <row r="122" spans="1:11" ht="14.25" thickBot="1" x14ac:dyDescent="0.3">
      <c r="B122" s="4"/>
      <c r="C122" s="4"/>
      <c r="D122" s="24">
        <f>DATE(2021,9,30)</f>
        <v>44469</v>
      </c>
      <c r="E122" s="24">
        <f>EDATE(D122,12)</f>
        <v>44834</v>
      </c>
      <c r="F122" s="24">
        <f t="shared" ref="F122:K122" si="4">EDATE(E122,12)</f>
        <v>45199</v>
      </c>
      <c r="G122" s="24">
        <f t="shared" si="4"/>
        <v>45565</v>
      </c>
      <c r="H122" s="24">
        <f t="shared" si="4"/>
        <v>45930</v>
      </c>
      <c r="I122" s="25">
        <f t="shared" si="4"/>
        <v>46295</v>
      </c>
      <c r="J122" s="25">
        <f t="shared" si="4"/>
        <v>46660</v>
      </c>
      <c r="K122" s="25">
        <f t="shared" si="4"/>
        <v>47026</v>
      </c>
    </row>
    <row r="123" spans="1:11" x14ac:dyDescent="0.25">
      <c r="B123" s="4"/>
      <c r="C123" s="4"/>
      <c r="D123" s="27"/>
      <c r="E123" s="27"/>
      <c r="F123" s="27"/>
      <c r="G123" s="27"/>
      <c r="H123" s="27"/>
      <c r="I123" s="28"/>
      <c r="J123" s="28"/>
      <c r="K123" s="28"/>
    </row>
    <row r="124" spans="1:11" x14ac:dyDescent="0.25">
      <c r="B124" s="4" t="s">
        <v>32</v>
      </c>
      <c r="C124" s="4"/>
      <c r="D124" s="27"/>
      <c r="E124" s="27"/>
      <c r="F124" s="27"/>
      <c r="G124" s="27"/>
      <c r="H124" s="27"/>
      <c r="I124" s="28"/>
      <c r="J124" s="28"/>
      <c r="K124" s="28"/>
    </row>
    <row r="125" spans="1:11" x14ac:dyDescent="0.25">
      <c r="B125" t="s">
        <v>79</v>
      </c>
    </row>
    <row r="126" spans="1:11" x14ac:dyDescent="0.25">
      <c r="B126" t="s">
        <v>43</v>
      </c>
    </row>
    <row r="127" spans="1:11" x14ac:dyDescent="0.25">
      <c r="B127" t="s">
        <v>80</v>
      </c>
    </row>
    <row r="128" spans="1:11" x14ac:dyDescent="0.25">
      <c r="B128" t="s">
        <v>81</v>
      </c>
    </row>
    <row r="130" spans="1:11" x14ac:dyDescent="0.25">
      <c r="B130" t="str">
        <f>B11</f>
        <v xml:space="preserve">Account Recieveable Days </v>
      </c>
    </row>
    <row r="131" spans="1:11" x14ac:dyDescent="0.25">
      <c r="B131" t="str">
        <f t="shared" ref="B131:B133" si="5">B12</f>
        <v xml:space="preserve">Inventory Days </v>
      </c>
    </row>
    <row r="132" spans="1:11" x14ac:dyDescent="0.25">
      <c r="B132" t="str">
        <f t="shared" si="5"/>
        <v xml:space="preserve">Accounts payable days </v>
      </c>
    </row>
    <row r="133" spans="1:11" x14ac:dyDescent="0.25">
      <c r="B133" t="str">
        <f t="shared" si="5"/>
        <v xml:space="preserve">Income Tax payable Days </v>
      </c>
    </row>
    <row r="136" spans="1:11" x14ac:dyDescent="0.25">
      <c r="A136" t="s">
        <v>58</v>
      </c>
      <c r="B136" s="8" t="s">
        <v>83</v>
      </c>
      <c r="C136" s="9"/>
      <c r="D136" s="9"/>
      <c r="E136" s="9"/>
      <c r="F136" s="9"/>
      <c r="G136" s="10"/>
      <c r="H136" s="10"/>
      <c r="I136" s="10"/>
      <c r="J136" s="10"/>
      <c r="K136" s="10"/>
    </row>
    <row r="137" spans="1:11" ht="14.25" thickBot="1" x14ac:dyDescent="0.3">
      <c r="B137" s="4"/>
      <c r="C137" s="4"/>
      <c r="D137" s="4"/>
      <c r="E137" s="4"/>
      <c r="F137" s="4"/>
    </row>
    <row r="138" spans="1:11" ht="14.25" thickBot="1" x14ac:dyDescent="0.3">
      <c r="B138" s="4"/>
      <c r="C138" s="4"/>
      <c r="D138" s="24">
        <f>DATE(2021,9,30)</f>
        <v>44469</v>
      </c>
      <c r="E138" s="24">
        <f>EDATE(D138,12)</f>
        <v>44834</v>
      </c>
      <c r="F138" s="24">
        <f t="shared" ref="F138:K138" si="6">EDATE(E138,12)</f>
        <v>45199</v>
      </c>
      <c r="G138" s="24">
        <f t="shared" si="6"/>
        <v>45565</v>
      </c>
      <c r="H138" s="24">
        <f t="shared" si="6"/>
        <v>45930</v>
      </c>
      <c r="I138" s="25">
        <f t="shared" si="6"/>
        <v>46295</v>
      </c>
      <c r="J138" s="25">
        <f t="shared" si="6"/>
        <v>46660</v>
      </c>
      <c r="K138" s="25">
        <f t="shared" si="6"/>
        <v>47026</v>
      </c>
    </row>
    <row r="139" spans="1:11" x14ac:dyDescent="0.25">
      <c r="B139" s="4" t="str">
        <f>B75</f>
        <v>Long-Term Debt</v>
      </c>
      <c r="C139" s="4"/>
      <c r="D139" s="27"/>
      <c r="E139" s="27"/>
      <c r="F139" s="27"/>
      <c r="G139" s="27"/>
      <c r="H139" s="27"/>
      <c r="I139" s="28"/>
      <c r="J139" s="28"/>
      <c r="K139" s="28"/>
    </row>
    <row r="140" spans="1:11" x14ac:dyDescent="0.25">
      <c r="B140" s="4" t="str">
        <f>B16</f>
        <v>Long-term Debt Interest Rate</v>
      </c>
      <c r="C140" s="4"/>
      <c r="D140" s="27"/>
      <c r="E140" s="27"/>
      <c r="F140" s="27"/>
      <c r="G140" s="27"/>
      <c r="H140" s="27"/>
      <c r="I140" s="28"/>
      <c r="J140" s="28"/>
      <c r="K140" s="28"/>
    </row>
    <row r="141" spans="1:11" x14ac:dyDescent="0.25">
      <c r="B141" s="4" t="str">
        <f>B70</f>
        <v xml:space="preserve">Short-Term Debt </v>
      </c>
      <c r="C141" s="4"/>
      <c r="D141" s="27"/>
      <c r="E141" s="27"/>
      <c r="F141" s="27"/>
      <c r="G141" s="27"/>
      <c r="H141" s="27"/>
      <c r="I141" s="28"/>
      <c r="J141" s="28"/>
      <c r="K141" s="28"/>
    </row>
    <row r="142" spans="1:11" x14ac:dyDescent="0.25">
      <c r="B142" t="str">
        <f>B17</f>
        <v>Short-term Debt Interest Rate</v>
      </c>
    </row>
    <row r="143" spans="1:11" x14ac:dyDescent="0.25">
      <c r="B143" t="str">
        <f>B71</f>
        <v>Revolver</v>
      </c>
    </row>
    <row r="144" spans="1:11" x14ac:dyDescent="0.25">
      <c r="B144" t="str">
        <f>B19</f>
        <v xml:space="preserve">Revolver Interest Rates </v>
      </c>
    </row>
    <row r="146" spans="1:11" x14ac:dyDescent="0.25">
      <c r="B146" t="s">
        <v>88</v>
      </c>
    </row>
    <row r="147" spans="1:11" ht="14.25" thickBot="1" x14ac:dyDescent="0.3">
      <c r="B147" t="str">
        <f>B110</f>
        <v xml:space="preserve">Offering (repayment) of Debt </v>
      </c>
    </row>
    <row r="148" spans="1:11" x14ac:dyDescent="0.25">
      <c r="B148" s="31" t="s">
        <v>89</v>
      </c>
      <c r="D148" s="29"/>
      <c r="E148" s="29"/>
      <c r="F148" s="29"/>
      <c r="G148" s="29"/>
      <c r="H148" s="29"/>
      <c r="I148" s="30"/>
      <c r="J148" s="30"/>
      <c r="K148" s="30"/>
    </row>
    <row r="151" spans="1:11" x14ac:dyDescent="0.25">
      <c r="A151" t="s">
        <v>58</v>
      </c>
      <c r="B151" s="8" t="s">
        <v>84</v>
      </c>
      <c r="C151" s="9"/>
      <c r="D151" s="9"/>
      <c r="E151" s="9"/>
      <c r="F151" s="9"/>
      <c r="G151" s="10"/>
      <c r="H151" s="10"/>
      <c r="I151" s="10"/>
      <c r="J151" s="10"/>
      <c r="K151" s="10"/>
    </row>
    <row r="152" spans="1:11" ht="14.25" thickBot="1" x14ac:dyDescent="0.3">
      <c r="B152" s="4"/>
      <c r="C152" s="4"/>
      <c r="D152" s="4"/>
      <c r="E152" s="4"/>
      <c r="F152" s="4"/>
    </row>
    <row r="153" spans="1:11" ht="14.25" thickBot="1" x14ac:dyDescent="0.3">
      <c r="B153" s="4"/>
      <c r="C153" s="4"/>
      <c r="D153" s="24">
        <f>DATE(2021,9,30)</f>
        <v>44469</v>
      </c>
      <c r="E153" s="24">
        <f>EDATE(D153,12)</f>
        <v>44834</v>
      </c>
      <c r="F153" s="24">
        <f t="shared" ref="F153:K153" si="7">EDATE(E153,12)</f>
        <v>45199</v>
      </c>
      <c r="G153" s="24">
        <f t="shared" si="7"/>
        <v>45565</v>
      </c>
      <c r="H153" s="24">
        <f t="shared" si="7"/>
        <v>45930</v>
      </c>
      <c r="I153" s="25">
        <f t="shared" si="7"/>
        <v>46295</v>
      </c>
      <c r="J153" s="25">
        <f t="shared" si="7"/>
        <v>46660</v>
      </c>
      <c r="K153" s="25">
        <f t="shared" si="7"/>
        <v>47026</v>
      </c>
    </row>
    <row r="154" spans="1:11" x14ac:dyDescent="0.25">
      <c r="B154" s="4"/>
      <c r="C154" s="4"/>
      <c r="D154" s="27"/>
      <c r="E154" s="27"/>
      <c r="F154" s="27"/>
      <c r="G154" s="27"/>
      <c r="H154" s="27"/>
      <c r="I154" s="28"/>
      <c r="J154" s="28"/>
      <c r="K154" s="28"/>
    </row>
    <row r="155" spans="1:11" x14ac:dyDescent="0.25">
      <c r="B155" s="4" t="s">
        <v>90</v>
      </c>
      <c r="C155" s="4"/>
      <c r="D155" s="27"/>
      <c r="E155" s="27"/>
      <c r="F155" s="27"/>
      <c r="G155" s="27"/>
      <c r="H155" s="27"/>
      <c r="I155" s="28"/>
      <c r="J155" s="28"/>
      <c r="K155" s="28"/>
    </row>
    <row r="156" spans="1:11" x14ac:dyDescent="0.25">
      <c r="B156" s="4" t="s">
        <v>91</v>
      </c>
      <c r="C156" s="4"/>
      <c r="D156" s="27"/>
      <c r="E156" s="27"/>
      <c r="F156" s="27"/>
      <c r="G156" s="27"/>
      <c r="H156" s="27"/>
      <c r="I156" s="28"/>
      <c r="J156" s="28"/>
      <c r="K156" s="28"/>
    </row>
    <row r="157" spans="1:11" ht="14.25" thickBot="1" x14ac:dyDescent="0.3">
      <c r="B157" s="4" t="s">
        <v>34</v>
      </c>
      <c r="C157" s="4"/>
      <c r="D157" s="27"/>
      <c r="E157" s="27"/>
      <c r="F157" s="27"/>
      <c r="G157" s="27"/>
      <c r="H157" s="27"/>
      <c r="I157" s="28"/>
      <c r="J157" s="28"/>
      <c r="K157" s="28"/>
    </row>
    <row r="158" spans="1:11" x14ac:dyDescent="0.25">
      <c r="B158" s="5" t="s">
        <v>92</v>
      </c>
      <c r="C158" s="4"/>
      <c r="D158" s="29"/>
      <c r="E158" s="29"/>
      <c r="F158" s="29"/>
      <c r="G158" s="29"/>
      <c r="H158" s="29"/>
      <c r="I158" s="30"/>
      <c r="J158" s="30"/>
      <c r="K158" s="30"/>
    </row>
    <row r="161" spans="1:11" x14ac:dyDescent="0.25">
      <c r="A161" t="s">
        <v>58</v>
      </c>
      <c r="B161" s="8" t="s">
        <v>85</v>
      </c>
      <c r="C161" s="9"/>
      <c r="D161" s="9"/>
      <c r="E161" s="9"/>
      <c r="F161" s="9"/>
      <c r="G161" s="10"/>
      <c r="H161" s="10"/>
      <c r="I161" s="10"/>
      <c r="J161" s="10"/>
      <c r="K161" s="10"/>
    </row>
    <row r="162" spans="1:11" ht="14.25" thickBot="1" x14ac:dyDescent="0.3">
      <c r="B162" s="4"/>
      <c r="C162" s="4"/>
      <c r="D162" s="4"/>
      <c r="E162" s="4"/>
      <c r="F162" s="4"/>
    </row>
    <row r="163" spans="1:11" ht="14.25" thickBot="1" x14ac:dyDescent="0.3">
      <c r="B163" s="4"/>
      <c r="C163" s="4"/>
      <c r="D163" s="24">
        <f>DATE(2021,9,30)</f>
        <v>44469</v>
      </c>
      <c r="E163" s="24">
        <f>EDATE(D163,12)</f>
        <v>44834</v>
      </c>
      <c r="F163" s="24">
        <f t="shared" ref="F163:K163" si="8">EDATE(E163,12)</f>
        <v>45199</v>
      </c>
      <c r="G163" s="24">
        <f t="shared" si="8"/>
        <v>45565</v>
      </c>
      <c r="H163" s="24">
        <f t="shared" si="8"/>
        <v>45930</v>
      </c>
      <c r="I163" s="25">
        <f t="shared" si="8"/>
        <v>46295</v>
      </c>
      <c r="J163" s="25">
        <f t="shared" si="8"/>
        <v>46660</v>
      </c>
      <c r="K163" s="25">
        <f t="shared" si="8"/>
        <v>47026</v>
      </c>
    </row>
    <row r="165" spans="1:11" x14ac:dyDescent="0.25">
      <c r="B165" t="s">
        <v>60</v>
      </c>
    </row>
    <row r="166" spans="1:11" x14ac:dyDescent="0.25">
      <c r="B166" t="str">
        <f>B20</f>
        <v>Dividend (As a % of Net Income)</v>
      </c>
    </row>
    <row r="169" spans="1:11" x14ac:dyDescent="0.25">
      <c r="B169" t="s">
        <v>93</v>
      </c>
    </row>
    <row r="170" spans="1:11" x14ac:dyDescent="0.25">
      <c r="B170" t="str">
        <f>B111</f>
        <v xml:space="preserve">Offering (repayments)of equity </v>
      </c>
    </row>
    <row r="171" spans="1:11" x14ac:dyDescent="0.25">
      <c r="B171" t="s">
        <v>38</v>
      </c>
    </row>
    <row r="172" spans="1:11" ht="14.25" thickBot="1" x14ac:dyDescent="0.3">
      <c r="B172" t="s">
        <v>39</v>
      </c>
    </row>
    <row r="173" spans="1:11" x14ac:dyDescent="0.25">
      <c r="B173" s="31" t="s">
        <v>94</v>
      </c>
      <c r="D173" s="1"/>
      <c r="E173" s="1"/>
      <c r="F173" s="1"/>
      <c r="G173" s="1"/>
      <c r="H173" s="1"/>
      <c r="I173" s="1"/>
      <c r="J173" s="1"/>
      <c r="K173" s="1"/>
    </row>
    <row r="175" spans="1:11" x14ac:dyDescent="0.25">
      <c r="A175" t="s">
        <v>58</v>
      </c>
      <c r="B175" s="8" t="s">
        <v>86</v>
      </c>
      <c r="C175" s="9"/>
      <c r="D175" s="9"/>
      <c r="E175" s="9"/>
      <c r="F175" s="9"/>
      <c r="G175" s="10"/>
      <c r="H175" s="10"/>
      <c r="I175" s="10"/>
      <c r="J175" s="10"/>
      <c r="K175" s="10"/>
    </row>
    <row r="176" spans="1:11" ht="14.25" thickBot="1" x14ac:dyDescent="0.3">
      <c r="B176" s="4"/>
      <c r="C176" s="4"/>
      <c r="D176" s="4"/>
      <c r="E176" s="4"/>
      <c r="F176" s="4"/>
    </row>
    <row r="177" spans="1:11" ht="14.25" thickBot="1" x14ac:dyDescent="0.3">
      <c r="B177" s="4"/>
      <c r="C177" s="4"/>
      <c r="D177" s="24">
        <f>DATE(2021,9,30)</f>
        <v>44469</v>
      </c>
      <c r="E177" s="24">
        <f>EDATE(D177,12)</f>
        <v>44834</v>
      </c>
      <c r="F177" s="24">
        <f t="shared" ref="F177:K177" si="9">EDATE(E177,12)</f>
        <v>45199</v>
      </c>
      <c r="G177" s="24">
        <f t="shared" si="9"/>
        <v>45565</v>
      </c>
      <c r="H177" s="24">
        <f t="shared" si="9"/>
        <v>45930</v>
      </c>
      <c r="I177" s="25">
        <f t="shared" si="9"/>
        <v>46295</v>
      </c>
      <c r="J177" s="25">
        <f t="shared" si="9"/>
        <v>46660</v>
      </c>
      <c r="K177" s="25">
        <f t="shared" si="9"/>
        <v>47026</v>
      </c>
    </row>
    <row r="179" spans="1:11" x14ac:dyDescent="0.25">
      <c r="B179" t="str">
        <f>B143</f>
        <v>Revolver</v>
      </c>
      <c r="D179">
        <v>20</v>
      </c>
    </row>
    <row r="180" spans="1:11" x14ac:dyDescent="0.25">
      <c r="A180" t="s">
        <v>58</v>
      </c>
      <c r="B180" t="str">
        <f>B18</f>
        <v>Minimum Cash Balance</v>
      </c>
      <c r="D180">
        <v>50</v>
      </c>
    </row>
    <row r="181" spans="1:11" x14ac:dyDescent="0.25">
      <c r="B181" t="str">
        <f>B55</f>
        <v xml:space="preserve">Cash and Cash Equivilants </v>
      </c>
      <c r="D181">
        <v>70</v>
      </c>
    </row>
    <row r="183" spans="1:11" x14ac:dyDescent="0.25">
      <c r="B183" t="s">
        <v>96</v>
      </c>
      <c r="D183">
        <f>D179</f>
        <v>20</v>
      </c>
      <c r="E183">
        <f>D186</f>
        <v>0</v>
      </c>
    </row>
    <row r="184" spans="1:11" x14ac:dyDescent="0.25">
      <c r="B184" t="s">
        <v>95</v>
      </c>
      <c r="D184">
        <f>IF(D181&lt;D180,D180-D181,0)</f>
        <v>0</v>
      </c>
    </row>
    <row r="185" spans="1:11" ht="14.25" thickBot="1" x14ac:dyDescent="0.3">
      <c r="B185" t="s">
        <v>97</v>
      </c>
      <c r="D185">
        <f>IF(D181&gt;D180,(D181-D180),0)</f>
        <v>20</v>
      </c>
    </row>
    <row r="186" spans="1:11" x14ac:dyDescent="0.25">
      <c r="B186" s="31" t="s">
        <v>98</v>
      </c>
      <c r="D186" s="1">
        <f>D183+D184-D185</f>
        <v>0</v>
      </c>
      <c r="E186" s="1"/>
      <c r="F186" s="1"/>
      <c r="G186" s="1"/>
      <c r="H186" s="1"/>
      <c r="I186" s="1"/>
      <c r="J186" s="1"/>
      <c r="K186" s="1"/>
    </row>
  </sheetData>
  <mergeCells count="3">
    <mergeCell ref="B26:B27"/>
    <mergeCell ref="B51:B52"/>
    <mergeCell ref="B92:B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Schwochow</dc:creator>
  <cp:lastModifiedBy>Cole Schwochow</cp:lastModifiedBy>
  <dcterms:created xsi:type="dcterms:W3CDTF">2026-08-30T20:06:42Z</dcterms:created>
  <dcterms:modified xsi:type="dcterms:W3CDTF">2026-08-30T23:25:49Z</dcterms:modified>
</cp:coreProperties>
</file>