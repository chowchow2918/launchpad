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eleton Scorecard" sheetId="1" state="visible" r:id="rId1"/>
    <sheet name="Findings Log" sheetId="2" state="visible" r:id="rId2"/>
    <sheet name="Day 2 Build" sheetId="3" state="visible" r:id="rId3"/>
    <sheet name="Ladd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Arial"/>
      <b val="1"/>
      <color rgb="FF1A1A1A"/>
      <sz val="16"/>
    </font>
    <font>
      <name val="Arial"/>
      <i val="1"/>
      <color rgb="FF7F7F7F"/>
      <sz val="10"/>
    </font>
    <font>
      <name val="Arial"/>
      <b val="1"/>
      <color rgb="FF1A1A1A"/>
      <sz val="11"/>
    </font>
    <font>
      <name val="Arial"/>
      <b val="1"/>
      <color rgb="FFFFFFFF"/>
      <sz val="10"/>
    </font>
    <font>
      <name val="Arial"/>
      <b val="1"/>
      <color rgb="FF1A1A1A"/>
      <sz val="10"/>
    </font>
    <font>
      <name val="Arial"/>
      <color rgb="FF1A1A1A"/>
      <sz val="10"/>
    </font>
    <font>
      <name val="Arial"/>
      <i val="1"/>
      <color rgb="FF7F7F7F"/>
      <sz val="9"/>
    </font>
    <font>
      <name val="Arial"/>
      <b val="1"/>
      <color rgb="FF008000"/>
      <sz val="10"/>
    </font>
    <font>
      <name val="Arial"/>
      <b val="1"/>
      <color rgb="FFC00000"/>
      <sz val="10"/>
    </font>
    <font>
      <name val="Arial"/>
      <i val="1"/>
      <color rgb="FFC00000"/>
      <sz val="9"/>
    </font>
    <font>
      <name val="Arial"/>
      <b val="1"/>
      <color rgb="FF1A1A1A"/>
      <sz val="14"/>
    </font>
    <font>
      <name val="Arial"/>
      <i val="1"/>
      <color rgb="FFC00000"/>
      <sz val="10"/>
    </font>
    <font>
      <name val="Arial"/>
      <color rgb="FF0000FF"/>
      <sz val="10"/>
    </font>
    <font>
      <name val="Arial"/>
      <color rgb="FF008000"/>
      <sz val="10"/>
    </font>
    <font>
      <name val="Arial"/>
      <color rgb="FF7F7F7F"/>
      <sz val="10"/>
    </font>
    <font>
      <name val="Arial"/>
      <b val="1"/>
      <color rgb="FF008000"/>
      <sz val="11"/>
    </font>
    <font>
      <name val="Arial"/>
      <b val="1"/>
      <color rgb="FFC00000"/>
      <sz val="9"/>
    </font>
    <font>
      <name val="Arial"/>
      <b val="1"/>
      <color rgb="FF7F7F7F"/>
      <sz val="9"/>
    </font>
    <font>
      <name val="Arial"/>
      <b val="1"/>
      <color rgb="FFFFFFFF"/>
      <sz val="9"/>
    </font>
    <font>
      <name val="Arial"/>
      <b val="1"/>
      <color rgb="FFB26B00"/>
      <sz val="11"/>
    </font>
    <font>
      <name val="Arial"/>
      <color rgb="FF7F7F7F"/>
      <sz val="9"/>
    </font>
    <font>
      <name val="Arial"/>
      <b val="1"/>
      <color rgb="FF008000"/>
      <sz val="9"/>
    </font>
    <font>
      <name val="Arial"/>
      <b val="1"/>
      <color rgb="FFB26B00"/>
      <sz val="9"/>
    </font>
    <font>
      <name val="Arial"/>
      <b val="1"/>
      <color rgb="FFB26B00"/>
      <sz val="10"/>
    </font>
    <font>
      <name val="Arial"/>
      <b val="1"/>
      <color rgb="FF7F7F7F"/>
      <sz val="10"/>
    </font>
    <font>
      <name val="Arial"/>
      <b val="1"/>
      <color rgb="FF1546C9"/>
      <sz val="9"/>
    </font>
    <font>
      <name val="Arial"/>
      <b val="1"/>
      <color rgb="FF1546C9"/>
      <sz val="11"/>
    </font>
    <font>
      <name val="Arial"/>
      <b val="1"/>
      <color rgb="FFC00000"/>
      <sz val="11"/>
    </font>
  </fonts>
  <fills count="8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E8ECF4"/>
      </patternFill>
    </fill>
    <fill>
      <patternFill patternType="solid">
        <fgColor rgb="FFEAF5EE"/>
      </patternFill>
    </fill>
    <fill>
      <patternFill patternType="solid">
        <fgColor rgb="FFFDE9E9"/>
      </patternFill>
    </fill>
    <fill>
      <patternFill patternType="solid">
        <fgColor rgb="FFFFFF00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D0D5DE"/>
      </left>
      <right style="thin">
        <color rgb="FFD0D5DE"/>
      </right>
      <top style="thin">
        <color rgb="FFD0D5DE"/>
      </top>
      <bottom style="thin">
        <color rgb="FFD0D5DE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9" fontId="11" fillId="0" borderId="0" applyAlignment="1" pivotButton="0" quotePrefix="0" xfId="0">
      <alignment horizontal="center"/>
    </xf>
    <xf numFmtId="0" fontId="4" fillId="2" borderId="0" pivotButton="0" quotePrefix="0" xfId="0"/>
    <xf numFmtId="0" fontId="5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1" pivotButton="0" quotePrefix="0" xfId="0"/>
    <xf numFmtId="0" fontId="0" fillId="2" borderId="0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9" fontId="3" fillId="3" borderId="1" applyAlignment="1" pivotButton="0" quotePrefix="0" xfId="0">
      <alignment horizontal="center"/>
    </xf>
    <xf numFmtId="0" fontId="12" fillId="0" borderId="0" pivotButton="0" quotePrefix="0" xfId="0"/>
    <xf numFmtId="0" fontId="5" fillId="0" borderId="0" pivotButton="0" quotePrefix="0" xfId="0"/>
    <xf numFmtId="0" fontId="13" fillId="0" borderId="0" pivotButton="0" quotePrefix="0" xfId="0"/>
    <xf numFmtId="0" fontId="6" fillId="0" borderId="0" pivotButton="0" quotePrefix="0" xfId="0"/>
    <xf numFmtId="0" fontId="14" fillId="0" borderId="0" pivotButton="0" quotePrefix="0" xfId="0"/>
    <xf numFmtId="0" fontId="6" fillId="6" borderId="0" pivotButton="0" quotePrefix="0" xfId="0"/>
    <xf numFmtId="0" fontId="7" fillId="0" borderId="0" applyAlignment="1" pivotButton="0" quotePrefix="0" xfId="0">
      <alignment horizontal="center"/>
    </xf>
    <xf numFmtId="0" fontId="8" fillId="0" borderId="1" pivotButton="0" quotePrefix="0" xfId="0"/>
    <xf numFmtId="0" fontId="6" fillId="0" borderId="1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1" pivotButton="0" quotePrefix="0" xfId="0"/>
    <xf numFmtId="0" fontId="7" fillId="0" borderId="1" applyAlignment="1" pivotButton="0" quotePrefix="0" xfId="0">
      <alignment vertical="top" wrapText="1"/>
    </xf>
    <xf numFmtId="0" fontId="18" fillId="0" borderId="1" pivotButton="0" quotePrefix="0" xfId="0"/>
    <xf numFmtId="0" fontId="7" fillId="0" borderId="0" pivotButton="0" quotePrefix="0" xfId="0"/>
    <xf numFmtId="0" fontId="19" fillId="2" borderId="0" applyAlignment="1" pivotButton="0" quotePrefix="0" xfId="0">
      <alignment horizontal="center" wrapText="1"/>
    </xf>
    <xf numFmtId="3" fontId="13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3" fontId="9" fillId="0" borderId="1" applyAlignment="1" pivotButton="0" quotePrefix="0" xfId="0">
      <alignment horizontal="center"/>
    </xf>
    <xf numFmtId="3" fontId="8" fillId="0" borderId="1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0" borderId="1" pivotButton="0" quotePrefix="0" xfId="0"/>
    <xf numFmtId="0" fontId="22" fillId="0" borderId="1" pivotButton="0" quotePrefix="0" xfId="0"/>
    <xf numFmtId="0" fontId="23" fillId="0" borderId="1" pivotButton="0" quotePrefix="0" xfId="0"/>
    <xf numFmtId="0" fontId="24" fillId="0" borderId="1" pivotButton="0" quotePrefix="0" xfId="0"/>
    <xf numFmtId="0" fontId="18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0" fontId="25" fillId="7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9" fontId="27" fillId="0" borderId="1" applyAlignment="1" pivotButton="0" quotePrefix="0" xfId="0">
      <alignment horizontal="center"/>
    </xf>
    <xf numFmtId="0" fontId="2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05"/>
  <sheetViews>
    <sheetView workbookViewId="0">
      <pane xSplit="4" ySplit="9" topLeftCell="E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44" customWidth="1" min="3" max="3"/>
    <col width="52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2">
      <c r="B2" s="1" t="inlineStr">
        <is>
          <t>Skeleton Scorecard</t>
        </is>
      </c>
    </row>
    <row r="3">
      <c r="B3" s="2" t="inlineStr">
        <is>
          <t>The answer key for the blank-skeleton drill. Do the rep first, from memory, then score yourself here.</t>
        </is>
      </c>
    </row>
    <row r="4">
      <c r="B4" s="2" t="inlineStr">
        <is>
          <t>Day 1 is filled in from the file you sent. Mark Y or N in the later columns as you repeat the drill.</t>
        </is>
      </c>
    </row>
    <row r="5">
      <c r="B5" s="23" t="inlineStr">
        <is>
          <t>Medium</t>
        </is>
      </c>
      <c r="D5" s="36" t="inlineStr">
        <is>
          <t>Paper reps cannot show the Structure block - score those on the 74 content items</t>
        </is>
      </c>
      <c r="E5" s="47" t="inlineStr">
        <is>
          <t>Excel</t>
        </is>
      </c>
      <c r="F5" s="47" t="inlineStr">
        <is>
          <t>Excel</t>
        </is>
      </c>
      <c r="G5" s="47" t="inlineStr">
        <is>
          <t>Excel</t>
        </is>
      </c>
      <c r="H5" s="48" t="inlineStr">
        <is>
          <t>Paper</t>
        </is>
      </c>
    </row>
    <row r="6">
      <c r="B6" s="3" t="inlineStr">
        <is>
          <t>SCORE</t>
        </is>
      </c>
      <c r="E6" s="4" t="inlineStr">
        <is>
          <t>Day 1</t>
        </is>
      </c>
      <c r="F6" s="4" t="inlineStr">
        <is>
          <t>Day 2</t>
        </is>
      </c>
      <c r="G6" s="4" t="inlineStr">
        <is>
          <t>Day 3</t>
        </is>
      </c>
      <c r="H6" s="4" t="inlineStr">
        <is>
          <t>Day 4</t>
        </is>
      </c>
      <c r="I6" s="4" t="inlineStr">
        <is>
          <t>Day 5</t>
        </is>
      </c>
      <c r="J6" s="4" t="inlineStr">
        <is>
          <t>Day 6</t>
        </is>
      </c>
      <c r="K6" s="4" t="inlineStr">
        <is>
          <t>Day 7</t>
        </is>
      </c>
    </row>
    <row r="7">
      <c r="E7" s="5">
        <f>E104</f>
        <v/>
      </c>
      <c r="F7" s="5">
        <f>F104</f>
        <v/>
      </c>
      <c r="G7" s="5">
        <f>G104</f>
        <v/>
      </c>
      <c r="H7" s="5">
        <f>H104</f>
        <v/>
      </c>
      <c r="I7" s="5">
        <f>I104</f>
        <v/>
      </c>
      <c r="J7" s="5">
        <f>J104</f>
        <v/>
      </c>
      <c r="K7" s="5">
        <f>K104</f>
        <v/>
      </c>
    </row>
    <row r="8">
      <c r="B8" s="23" t="inlineStr">
        <is>
          <t>Minutes</t>
        </is>
      </c>
      <c r="D8" s="36" t="inlineStr">
        <is>
          <t>Target: under 15 for a labels-only skeleton</t>
        </is>
      </c>
      <c r="E8" s="42" t="n"/>
      <c r="F8" s="42" t="n"/>
      <c r="G8" s="42" t="n">
        <v>44</v>
      </c>
    </row>
    <row r="9">
      <c r="B9" s="6" t="inlineStr">
        <is>
          <t>Block</t>
        </is>
      </c>
      <c r="C9" s="6" t="inlineStr">
        <is>
          <t>Line item</t>
        </is>
      </c>
      <c r="D9" s="6" t="inlineStr">
        <is>
          <t>Note</t>
        </is>
      </c>
      <c r="E9" s="4" t="inlineStr">
        <is>
          <t>Day 1</t>
        </is>
      </c>
      <c r="F9" s="4" t="inlineStr">
        <is>
          <t>Day 2</t>
        </is>
      </c>
      <c r="G9" s="4" t="inlineStr">
        <is>
          <t>Day 3</t>
        </is>
      </c>
      <c r="H9" s="4" t="inlineStr">
        <is>
          <t>Day 4</t>
        </is>
      </c>
      <c r="I9" s="4" t="inlineStr">
        <is>
          <t>Day 5</t>
        </is>
      </c>
      <c r="J9" s="4" t="inlineStr">
        <is>
          <t>Day 6</t>
        </is>
      </c>
      <c r="K9" s="4" t="inlineStr">
        <is>
          <t>Day 7</t>
        </is>
      </c>
    </row>
    <row r="10">
      <c r="B10" s="7" t="inlineStr">
        <is>
          <t>ASSUMPTIONS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</row>
    <row r="11">
      <c r="B11" s="9" t="n"/>
      <c r="C11" s="10" t="inlineStr">
        <is>
          <t>Revenue growth %</t>
        </is>
      </c>
      <c r="D11" s="11" t="inlineStr"/>
      <c r="E11" s="12" t="inlineStr">
        <is>
          <t>Y</t>
        </is>
      </c>
      <c r="F11" s="12" t="inlineStr">
        <is>
          <t>Y</t>
        </is>
      </c>
      <c r="G11" s="12" t="inlineStr">
        <is>
          <t>Y</t>
        </is>
      </c>
      <c r="H11" s="12" t="inlineStr">
        <is>
          <t>Y</t>
        </is>
      </c>
      <c r="I11" s="13" t="n"/>
      <c r="J11" s="13" t="n"/>
      <c r="K11" s="13" t="n"/>
    </row>
    <row r="12">
      <c r="B12" s="9" t="n"/>
      <c r="C12" s="10" t="inlineStr">
        <is>
          <t>Gross margin %</t>
        </is>
      </c>
      <c r="D12" s="11" t="inlineStr"/>
      <c r="E12" s="12" t="inlineStr">
        <is>
          <t>Y</t>
        </is>
      </c>
      <c r="F12" s="12" t="inlineStr">
        <is>
          <t>Y</t>
        </is>
      </c>
      <c r="G12" s="12" t="inlineStr">
        <is>
          <t>Y</t>
        </is>
      </c>
      <c r="H12" s="12" t="inlineStr">
        <is>
          <t>Y</t>
        </is>
      </c>
      <c r="I12" s="13" t="n"/>
      <c r="J12" s="13" t="n"/>
      <c r="K12" s="13" t="n"/>
    </row>
    <row r="13">
      <c r="B13" s="9" t="n"/>
      <c r="C13" s="10" t="inlineStr">
        <is>
          <t>SG&amp;A (% of revenue)</t>
        </is>
      </c>
      <c r="D13" s="11" t="inlineStr"/>
      <c r="E13" s="12" t="inlineStr">
        <is>
          <t>Y</t>
        </is>
      </c>
      <c r="F13" s="12" t="inlineStr">
        <is>
          <t>Y</t>
        </is>
      </c>
      <c r="G13" s="12" t="inlineStr">
        <is>
          <t>Y</t>
        </is>
      </c>
      <c r="H13" s="12" t="inlineStr">
        <is>
          <t>Y</t>
        </is>
      </c>
      <c r="I13" s="13" t="n"/>
      <c r="J13" s="13" t="n"/>
      <c r="K13" s="13" t="n"/>
    </row>
    <row r="14">
      <c r="B14" s="9" t="n"/>
      <c r="C14" s="10" t="inlineStr">
        <is>
          <t>R&amp;D (% of revenue)</t>
        </is>
      </c>
      <c r="D14" s="11" t="inlineStr"/>
      <c r="E14" s="12" t="inlineStr">
        <is>
          <t>Y</t>
        </is>
      </c>
      <c r="F14" s="12" t="inlineStr">
        <is>
          <t>Y</t>
        </is>
      </c>
      <c r="G14" s="12" t="inlineStr">
        <is>
          <t>Y</t>
        </is>
      </c>
      <c r="H14" s="12" t="inlineStr">
        <is>
          <t>Y</t>
        </is>
      </c>
      <c r="I14" s="13" t="n"/>
      <c r="J14" s="13" t="n"/>
      <c r="K14" s="13" t="n"/>
    </row>
    <row r="15">
      <c r="B15" s="9" t="n"/>
      <c r="C15" s="10" t="inlineStr">
        <is>
          <t>Depreciation (% of opening PP&amp;E)</t>
        </is>
      </c>
      <c r="D15" s="11" t="inlineStr">
        <is>
          <t>Drives the PP&amp;E schedule and the IS</t>
        </is>
      </c>
      <c r="E15" s="14" t="inlineStr">
        <is>
          <t>N</t>
        </is>
      </c>
      <c r="F15" s="12" t="inlineStr">
        <is>
          <t>Y</t>
        </is>
      </c>
      <c r="G15" s="12" t="inlineStr">
        <is>
          <t>Y</t>
        </is>
      </c>
      <c r="H15" s="14" t="inlineStr">
        <is>
          <t>N</t>
        </is>
      </c>
      <c r="I15" s="13" t="n"/>
      <c r="J15" s="13" t="n"/>
      <c r="K15" s="13" t="n"/>
    </row>
    <row r="16">
      <c r="B16" s="9" t="n"/>
      <c r="C16" s="10" t="inlineStr">
        <is>
          <t>Capex (% of revenue)</t>
        </is>
      </c>
      <c r="D16" s="11" t="inlineStr"/>
      <c r="E16" s="12" t="inlineStr">
        <is>
          <t>Y</t>
        </is>
      </c>
      <c r="F16" s="12" t="inlineStr">
        <is>
          <t>Y</t>
        </is>
      </c>
      <c r="G16" s="12" t="inlineStr">
        <is>
          <t>Y</t>
        </is>
      </c>
      <c r="H16" s="12" t="inlineStr">
        <is>
          <t>Y</t>
        </is>
      </c>
      <c r="I16" s="13" t="n"/>
      <c r="J16" s="13" t="n"/>
      <c r="K16" s="13" t="n"/>
    </row>
    <row r="17">
      <c r="B17" s="9" t="n"/>
      <c r="C17" s="10" t="inlineStr">
        <is>
          <t>Accounts receivable days</t>
        </is>
      </c>
      <c r="D17" s="11" t="inlineStr"/>
      <c r="E17" s="12" t="inlineStr">
        <is>
          <t>Y</t>
        </is>
      </c>
      <c r="F17" s="12" t="inlineStr">
        <is>
          <t>Y</t>
        </is>
      </c>
      <c r="G17" s="12" t="inlineStr">
        <is>
          <t>Y</t>
        </is>
      </c>
      <c r="H17" s="12" t="inlineStr">
        <is>
          <t>Y</t>
        </is>
      </c>
      <c r="I17" s="13" t="n"/>
      <c r="J17" s="13" t="n"/>
      <c r="K17" s="13" t="n"/>
    </row>
    <row r="18">
      <c r="B18" s="9" t="n"/>
      <c r="C18" s="10" t="inlineStr">
        <is>
          <t>Inventory days</t>
        </is>
      </c>
      <c r="D18" s="11" t="inlineStr"/>
      <c r="E18" s="12" t="inlineStr">
        <is>
          <t>Y</t>
        </is>
      </c>
      <c r="F18" s="12" t="inlineStr">
        <is>
          <t>Y</t>
        </is>
      </c>
      <c r="G18" s="12" t="inlineStr">
        <is>
          <t>Y</t>
        </is>
      </c>
      <c r="H18" s="12" t="inlineStr">
        <is>
          <t>Y</t>
        </is>
      </c>
      <c r="I18" s="13" t="n"/>
      <c r="J18" s="13" t="n"/>
      <c r="K18" s="13" t="n"/>
    </row>
    <row r="19">
      <c r="B19" s="9" t="n"/>
      <c r="C19" s="10" t="inlineStr">
        <is>
          <t>Accounts payable days</t>
        </is>
      </c>
      <c r="D19" s="11" t="inlineStr"/>
      <c r="E19" s="12" t="inlineStr">
        <is>
          <t>Y</t>
        </is>
      </c>
      <c r="F19" s="12" t="inlineStr">
        <is>
          <t>Y</t>
        </is>
      </c>
      <c r="G19" s="12" t="inlineStr">
        <is>
          <t>Y</t>
        </is>
      </c>
      <c r="H19" s="12" t="inlineStr">
        <is>
          <t>Y</t>
        </is>
      </c>
      <c r="I19" s="13" t="n"/>
      <c r="J19" s="13" t="n"/>
      <c r="K19" s="13" t="n"/>
    </row>
    <row r="20">
      <c r="B20" s="9" t="n"/>
      <c r="C20" s="10" t="inlineStr">
        <is>
          <t>Income taxes payable days</t>
        </is>
      </c>
      <c r="D20" s="11" t="inlineStr">
        <is>
          <t>You used the line on the CFS but never set its driver</t>
        </is>
      </c>
      <c r="E20" s="14" t="inlineStr">
        <is>
          <t>N</t>
        </is>
      </c>
      <c r="F20" s="12" t="inlineStr">
        <is>
          <t>Y</t>
        </is>
      </c>
      <c r="G20" s="12" t="inlineStr">
        <is>
          <t>Y</t>
        </is>
      </c>
      <c r="H20" s="12" t="inlineStr">
        <is>
          <t>Y</t>
        </is>
      </c>
      <c r="I20" s="13" t="n"/>
      <c r="J20" s="13" t="n"/>
      <c r="K20" s="13" t="n"/>
    </row>
    <row r="21">
      <c r="B21" s="9" t="n"/>
      <c r="C21" s="10" t="inlineStr">
        <is>
          <t>Effective tax rate</t>
        </is>
      </c>
      <c r="D21" s="11" t="inlineStr"/>
      <c r="E21" s="12" t="inlineStr">
        <is>
          <t>Y</t>
        </is>
      </c>
      <c r="F21" s="14" t="inlineStr">
        <is>
          <t>N</t>
        </is>
      </c>
      <c r="G21" s="12" t="inlineStr">
        <is>
          <t>Y</t>
        </is>
      </c>
      <c r="H21" s="12" t="inlineStr">
        <is>
          <t>Y</t>
        </is>
      </c>
      <c r="I21" s="13" t="n"/>
      <c r="J21" s="13" t="n"/>
      <c r="K21" s="13" t="n"/>
    </row>
    <row r="22">
      <c r="B22" s="9" t="n"/>
      <c r="C22" s="10" t="inlineStr">
        <is>
          <t>Long-term debt interest rate</t>
        </is>
      </c>
      <c r="D22" s="11" t="inlineStr"/>
      <c r="E22" s="12" t="inlineStr">
        <is>
          <t>Y</t>
        </is>
      </c>
      <c r="F22" s="12" t="inlineStr">
        <is>
          <t>Y</t>
        </is>
      </c>
      <c r="G22" s="12" t="inlineStr">
        <is>
          <t>Y</t>
        </is>
      </c>
      <c r="H22" s="12" t="inlineStr">
        <is>
          <t>Y</t>
        </is>
      </c>
      <c r="I22" s="13" t="n"/>
      <c r="J22" s="13" t="n"/>
      <c r="K22" s="13" t="n"/>
    </row>
    <row r="23">
      <c r="B23" s="9" t="n"/>
      <c r="C23" s="10" t="inlineStr">
        <is>
          <t>Revolver interest rate</t>
        </is>
      </c>
      <c r="D23" s="11" t="inlineStr">
        <is>
          <t>Needed once you add the sweep</t>
        </is>
      </c>
      <c r="E23" s="14" t="inlineStr">
        <is>
          <t>N</t>
        </is>
      </c>
      <c r="F23" s="12" t="inlineStr">
        <is>
          <t>Y</t>
        </is>
      </c>
      <c r="G23" s="14" t="inlineStr">
        <is>
          <t>N</t>
        </is>
      </c>
      <c r="H23" s="12" t="inlineStr">
        <is>
          <t>Y</t>
        </is>
      </c>
      <c r="I23" s="13" t="n"/>
      <c r="J23" s="13" t="n"/>
      <c r="K23" s="13" t="n"/>
    </row>
    <row r="24">
      <c r="B24" s="9" t="n"/>
      <c r="C24" s="10" t="inlineStr">
        <is>
          <t>Minimum cash balance</t>
        </is>
      </c>
      <c r="D24" s="11" t="inlineStr">
        <is>
          <t>The MIN/MAX sweep has no meaning without it</t>
        </is>
      </c>
      <c r="E24" s="14" t="inlineStr">
        <is>
          <t>N</t>
        </is>
      </c>
      <c r="F24" s="12" t="inlineStr">
        <is>
          <t>Y</t>
        </is>
      </c>
      <c r="G24" s="14" t="inlineStr">
        <is>
          <t>N</t>
        </is>
      </c>
      <c r="H24" s="12" t="inlineStr">
        <is>
          <t>Y</t>
        </is>
      </c>
      <c r="I24" s="13" t="n"/>
      <c r="J24" s="13" t="n"/>
      <c r="K24" s="13" t="n"/>
    </row>
    <row r="25">
      <c r="B25" s="9" t="n"/>
      <c r="C25" s="10" t="inlineStr">
        <is>
          <t>Mandatory debt amortisation</t>
        </is>
      </c>
      <c r="D25" s="11" t="inlineStr">
        <is>
          <t>The scheduled repayment in the debt schedule</t>
        </is>
      </c>
      <c r="E25" s="14" t="inlineStr">
        <is>
          <t>N</t>
        </is>
      </c>
      <c r="F25" s="14" t="inlineStr">
        <is>
          <t>N</t>
        </is>
      </c>
      <c r="G25" s="14" t="inlineStr">
        <is>
          <t>N</t>
        </is>
      </c>
      <c r="H25" s="14" t="inlineStr">
        <is>
          <t>N</t>
        </is>
      </c>
      <c r="I25" s="13" t="n"/>
      <c r="J25" s="13" t="n"/>
      <c r="K25" s="13" t="n"/>
    </row>
    <row r="26">
      <c r="B26" s="9" t="n"/>
      <c r="C26" s="10" t="inlineStr">
        <is>
          <t>Dividends (% of net income)</t>
        </is>
      </c>
      <c r="D26" s="11" t="inlineStr"/>
      <c r="E26" s="12" t="inlineStr">
        <is>
          <t>Y</t>
        </is>
      </c>
      <c r="F26" s="12" t="inlineStr">
        <is>
          <t>Y</t>
        </is>
      </c>
      <c r="G26" s="12" t="inlineStr">
        <is>
          <t>Y</t>
        </is>
      </c>
      <c r="H26" s="12" t="inlineStr">
        <is>
          <t>Y</t>
        </is>
      </c>
      <c r="I26" s="13" t="n"/>
      <c r="J26" s="13" t="n"/>
      <c r="K26" s="13" t="n"/>
    </row>
    <row r="27">
      <c r="B27" s="9" t="n"/>
      <c r="C27" s="10" t="inlineStr">
        <is>
          <t>Opening long-term debt balance</t>
        </is>
      </c>
      <c r="D27" s="11" t="inlineStr"/>
      <c r="E27" s="12" t="inlineStr">
        <is>
          <t>Y</t>
        </is>
      </c>
      <c r="F27" s="12" t="inlineStr">
        <is>
          <t>Y</t>
        </is>
      </c>
      <c r="G27" s="12" t="inlineStr">
        <is>
          <t>Y</t>
        </is>
      </c>
      <c r="H27" s="12" t="inlineStr">
        <is>
          <t>Y</t>
        </is>
      </c>
      <c r="I27" s="13" t="n"/>
      <c r="J27" s="13" t="n"/>
      <c r="K27" s="13" t="n"/>
    </row>
    <row r="28">
      <c r="B28" s="9" t="n"/>
      <c r="C28" s="10" t="inlineStr">
        <is>
          <t>Opening share capital</t>
        </is>
      </c>
      <c r="D28" s="11" t="inlineStr"/>
      <c r="E28" s="12" t="inlineStr">
        <is>
          <t>Y</t>
        </is>
      </c>
      <c r="F28" s="12" t="inlineStr">
        <is>
          <t>Y</t>
        </is>
      </c>
      <c r="G28" s="12" t="inlineStr">
        <is>
          <t>Y</t>
        </is>
      </c>
      <c r="H28" s="12" t="inlineStr">
        <is>
          <t>Y</t>
        </is>
      </c>
      <c r="I28" s="13" t="n"/>
      <c r="J28" s="13" t="n"/>
      <c r="K28" s="13" t="n"/>
    </row>
    <row r="29">
      <c r="B29" s="7" t="inlineStr">
        <is>
          <t>INCOME STATEMENT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</row>
    <row r="30">
      <c r="B30" s="9" t="n"/>
      <c r="C30" s="10" t="inlineStr">
        <is>
          <t>Revenue</t>
        </is>
      </c>
      <c r="D30" s="11" t="inlineStr"/>
      <c r="E30" s="12" t="inlineStr">
        <is>
          <t>Y</t>
        </is>
      </c>
      <c r="F30" s="12" t="inlineStr">
        <is>
          <t>Y</t>
        </is>
      </c>
      <c r="G30" s="12" t="inlineStr">
        <is>
          <t>Y</t>
        </is>
      </c>
      <c r="H30" s="12" t="inlineStr">
        <is>
          <t>Y</t>
        </is>
      </c>
      <c r="I30" s="13" t="n"/>
      <c r="J30" s="13" t="n"/>
      <c r="K30" s="13" t="n"/>
    </row>
    <row r="31">
      <c r="B31" s="9" t="n"/>
      <c r="C31" s="10" t="inlineStr">
        <is>
          <t>COGS</t>
        </is>
      </c>
      <c r="D31" s="11" t="inlineStr"/>
      <c r="E31" s="12" t="inlineStr">
        <is>
          <t>Y</t>
        </is>
      </c>
      <c r="F31" s="12" t="inlineStr">
        <is>
          <t>Y</t>
        </is>
      </c>
      <c r="G31" s="12" t="inlineStr">
        <is>
          <t>Y</t>
        </is>
      </c>
      <c r="H31" s="12" t="inlineStr">
        <is>
          <t>Y</t>
        </is>
      </c>
      <c r="I31" s="13" t="n"/>
      <c r="J31" s="13" t="n"/>
      <c r="K31" s="13" t="n"/>
    </row>
    <row r="32">
      <c r="B32" s="9" t="n"/>
      <c r="C32" s="10" t="inlineStr">
        <is>
          <t>Gross profit</t>
        </is>
      </c>
      <c r="D32" s="11" t="inlineStr">
        <is>
          <t>You wrote 'Gross Margin' - margin is the %, profit is the $</t>
        </is>
      </c>
      <c r="E32" s="12" t="inlineStr">
        <is>
          <t>Y</t>
        </is>
      </c>
      <c r="F32" s="12" t="inlineStr">
        <is>
          <t>Y</t>
        </is>
      </c>
      <c r="G32" s="12" t="inlineStr">
        <is>
          <t>Y</t>
        </is>
      </c>
      <c r="H32" s="12" t="inlineStr">
        <is>
          <t>Y</t>
        </is>
      </c>
      <c r="I32" s="13" t="n"/>
      <c r="J32" s="13" t="n"/>
      <c r="K32" s="13" t="n"/>
    </row>
    <row r="33">
      <c r="B33" s="9" t="n"/>
      <c r="C33" s="10" t="inlineStr">
        <is>
          <t>SG&amp;A</t>
        </is>
      </c>
      <c r="D33" s="11" t="inlineStr"/>
      <c r="E33" s="12" t="inlineStr">
        <is>
          <t>Y</t>
        </is>
      </c>
      <c r="F33" s="12" t="inlineStr">
        <is>
          <t>Y</t>
        </is>
      </c>
      <c r="G33" s="12" t="inlineStr">
        <is>
          <t>Y</t>
        </is>
      </c>
      <c r="H33" s="12" t="inlineStr">
        <is>
          <t>Y</t>
        </is>
      </c>
      <c r="I33" s="13" t="n"/>
      <c r="J33" s="13" t="n"/>
      <c r="K33" s="13" t="n"/>
    </row>
    <row r="34">
      <c r="B34" s="9" t="n"/>
      <c r="C34" s="10" t="inlineStr">
        <is>
          <t>R&amp;D</t>
        </is>
      </c>
      <c r="D34" s="11" t="inlineStr"/>
      <c r="E34" s="12" t="inlineStr">
        <is>
          <t>Y</t>
        </is>
      </c>
      <c r="F34" s="12" t="inlineStr">
        <is>
          <t>Y</t>
        </is>
      </c>
      <c r="G34" s="12" t="inlineStr">
        <is>
          <t>Y</t>
        </is>
      </c>
      <c r="H34" s="12" t="inlineStr">
        <is>
          <t>Y</t>
        </is>
      </c>
      <c r="I34" s="13" t="n"/>
      <c r="J34" s="13" t="n"/>
      <c r="K34" s="13" t="n"/>
    </row>
    <row r="35">
      <c r="B35" s="9" t="n"/>
      <c r="C35" s="10" t="inlineStr">
        <is>
          <t>Depreciation</t>
        </is>
      </c>
      <c r="D35" s="11" t="inlineStr"/>
      <c r="E35" s="12" t="inlineStr">
        <is>
          <t>Y</t>
        </is>
      </c>
      <c r="F35" s="12" t="inlineStr">
        <is>
          <t>Y</t>
        </is>
      </c>
      <c r="G35" s="12" t="inlineStr">
        <is>
          <t>Y</t>
        </is>
      </c>
      <c r="H35" s="12" t="inlineStr">
        <is>
          <t>Y</t>
        </is>
      </c>
      <c r="I35" s="13" t="n"/>
      <c r="J35" s="13" t="n"/>
      <c r="K35" s="13" t="n"/>
    </row>
    <row r="36">
      <c r="B36" s="9" t="n"/>
      <c r="C36" s="10" t="inlineStr">
        <is>
          <t>EBIT</t>
        </is>
      </c>
      <c r="D36" s="11" t="inlineStr"/>
      <c r="E36" s="12" t="inlineStr">
        <is>
          <t>Y</t>
        </is>
      </c>
      <c r="F36" s="12" t="inlineStr">
        <is>
          <t>Y</t>
        </is>
      </c>
      <c r="G36" s="12" t="inlineStr">
        <is>
          <t>Y</t>
        </is>
      </c>
      <c r="H36" s="12" t="inlineStr">
        <is>
          <t>Y</t>
        </is>
      </c>
      <c r="I36" s="13" t="n"/>
      <c r="J36" s="13" t="n"/>
      <c r="K36" s="13" t="n"/>
    </row>
    <row r="37">
      <c r="B37" s="9" t="n"/>
      <c r="C37" s="10" t="inlineStr">
        <is>
          <t>Interest expense</t>
        </is>
      </c>
      <c r="D37" s="11" t="inlineStr"/>
      <c r="E37" s="12" t="inlineStr">
        <is>
          <t>Y</t>
        </is>
      </c>
      <c r="F37" s="12" t="inlineStr">
        <is>
          <t>Y</t>
        </is>
      </c>
      <c r="G37" s="12" t="inlineStr">
        <is>
          <t>Y</t>
        </is>
      </c>
      <c r="H37" s="12" t="inlineStr">
        <is>
          <t>Y</t>
        </is>
      </c>
      <c r="I37" s="13" t="n"/>
      <c r="J37" s="13" t="n"/>
      <c r="K37" s="13" t="n"/>
    </row>
    <row r="38">
      <c r="B38" s="9" t="n"/>
      <c r="C38" s="10" t="inlineStr">
        <is>
          <t>Interest income</t>
        </is>
      </c>
      <c r="D38" s="11" t="inlineStr">
        <is>
          <t>Optional, but it pairs with the cash balance</t>
        </is>
      </c>
      <c r="E38" s="14" t="inlineStr">
        <is>
          <t>N</t>
        </is>
      </c>
      <c r="F38" s="12" t="inlineStr">
        <is>
          <t>Y</t>
        </is>
      </c>
      <c r="G38" s="12" t="inlineStr">
        <is>
          <t>Y</t>
        </is>
      </c>
      <c r="H38" s="12" t="inlineStr">
        <is>
          <t>Y</t>
        </is>
      </c>
      <c r="I38" s="13" t="n"/>
      <c r="J38" s="13" t="n"/>
      <c r="K38" s="13" t="n"/>
    </row>
    <row r="39">
      <c r="B39" s="9" t="n"/>
      <c r="C39" s="10" t="inlineStr">
        <is>
          <t>EBT</t>
        </is>
      </c>
      <c r="D39" s="11" t="inlineStr"/>
      <c r="E39" s="12" t="inlineStr">
        <is>
          <t>Y</t>
        </is>
      </c>
      <c r="F39" s="12" t="inlineStr">
        <is>
          <t>Y</t>
        </is>
      </c>
      <c r="G39" s="12" t="inlineStr">
        <is>
          <t>Y</t>
        </is>
      </c>
      <c r="H39" s="12" t="inlineStr">
        <is>
          <t>Y</t>
        </is>
      </c>
      <c r="I39" s="13" t="n"/>
      <c r="J39" s="13" t="n"/>
      <c r="K39" s="13" t="n"/>
    </row>
    <row r="40">
      <c r="B40" s="9" t="n"/>
      <c r="C40" s="10" t="inlineStr">
        <is>
          <t>Taxes</t>
        </is>
      </c>
      <c r="D40" s="11" t="inlineStr"/>
      <c r="E40" s="12" t="inlineStr">
        <is>
          <t>Y</t>
        </is>
      </c>
      <c r="F40" s="12" t="inlineStr">
        <is>
          <t>Y</t>
        </is>
      </c>
      <c r="G40" s="12" t="inlineStr">
        <is>
          <t>Y</t>
        </is>
      </c>
      <c r="H40" s="12" t="inlineStr">
        <is>
          <t>Y</t>
        </is>
      </c>
      <c r="I40" s="13" t="n"/>
      <c r="J40" s="13" t="n"/>
      <c r="K40" s="13" t="n"/>
    </row>
    <row r="41">
      <c r="B41" s="9" t="n"/>
      <c r="C41" s="10" t="inlineStr">
        <is>
          <t>Net income</t>
        </is>
      </c>
      <c r="D41" s="11" t="inlineStr"/>
      <c r="E41" s="12" t="inlineStr">
        <is>
          <t>Y</t>
        </is>
      </c>
      <c r="F41" s="12" t="inlineStr">
        <is>
          <t>Y</t>
        </is>
      </c>
      <c r="G41" s="12" t="inlineStr">
        <is>
          <t>Y</t>
        </is>
      </c>
      <c r="H41" s="12" t="inlineStr">
        <is>
          <t>Y</t>
        </is>
      </c>
      <c r="I41" s="13" t="n"/>
      <c r="J41" s="13" t="n"/>
      <c r="K41" s="13" t="n"/>
    </row>
    <row r="42">
      <c r="B42" s="9" t="n"/>
      <c r="C42" s="10" t="inlineStr">
        <is>
          <t>Dividends paid</t>
        </is>
      </c>
      <c r="D42" s="11" t="inlineStr"/>
      <c r="E42" s="12" t="inlineStr">
        <is>
          <t>Y</t>
        </is>
      </c>
      <c r="F42" s="12" t="inlineStr">
        <is>
          <t>Y</t>
        </is>
      </c>
      <c r="G42" s="12" t="inlineStr">
        <is>
          <t>Y</t>
        </is>
      </c>
      <c r="H42" s="12" t="inlineStr">
        <is>
          <t>Y</t>
        </is>
      </c>
      <c r="I42" s="13" t="n"/>
      <c r="J42" s="13" t="n"/>
      <c r="K42" s="13" t="n"/>
    </row>
    <row r="43">
      <c r="B43" s="9" t="n"/>
      <c r="C43" s="10" t="inlineStr">
        <is>
          <t>Addition to retained earnings</t>
        </is>
      </c>
      <c r="D43" s="11" t="inlineStr"/>
      <c r="E43" s="12" t="inlineStr">
        <is>
          <t>Y</t>
        </is>
      </c>
      <c r="F43" s="12" t="inlineStr">
        <is>
          <t>Y</t>
        </is>
      </c>
      <c r="G43" s="12" t="inlineStr">
        <is>
          <t>Y</t>
        </is>
      </c>
      <c r="H43" s="12" t="inlineStr">
        <is>
          <t>Y</t>
        </is>
      </c>
      <c r="I43" s="13" t="n"/>
      <c r="J43" s="13" t="n"/>
      <c r="K43" s="13" t="n"/>
    </row>
    <row r="44">
      <c r="B44" s="7" t="inlineStr">
        <is>
          <t>BALANCE SHEET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</row>
    <row r="45">
      <c r="B45" s="9" t="n"/>
      <c r="C45" s="10" t="inlineStr">
        <is>
          <t>Cash</t>
        </is>
      </c>
      <c r="D45" s="11" t="inlineStr"/>
      <c r="E45" s="12" t="inlineStr">
        <is>
          <t>Y</t>
        </is>
      </c>
      <c r="F45" s="12" t="inlineStr">
        <is>
          <t>Y</t>
        </is>
      </c>
      <c r="G45" s="12" t="inlineStr">
        <is>
          <t>Y</t>
        </is>
      </c>
      <c r="H45" s="12" t="inlineStr">
        <is>
          <t>Y</t>
        </is>
      </c>
      <c r="I45" s="13" t="n"/>
      <c r="J45" s="13" t="n"/>
      <c r="K45" s="13" t="n"/>
    </row>
    <row r="46">
      <c r="B46" s="9" t="n"/>
      <c r="C46" s="10" t="inlineStr">
        <is>
          <t>Accounts receivable</t>
        </is>
      </c>
      <c r="D46" s="11" t="inlineStr"/>
      <c r="E46" s="12" t="inlineStr">
        <is>
          <t>Y</t>
        </is>
      </c>
      <c r="F46" s="12" t="inlineStr">
        <is>
          <t>Y</t>
        </is>
      </c>
      <c r="G46" s="12" t="inlineStr">
        <is>
          <t>Y</t>
        </is>
      </c>
      <c r="H46" s="12" t="inlineStr">
        <is>
          <t>Y</t>
        </is>
      </c>
      <c r="I46" s="13" t="n"/>
      <c r="J46" s="13" t="n"/>
      <c r="K46" s="13" t="n"/>
    </row>
    <row r="47">
      <c r="B47" s="9" t="n"/>
      <c r="C47" s="10" t="inlineStr">
        <is>
          <t>Inventory</t>
        </is>
      </c>
      <c r="D47" s="11" t="inlineStr"/>
      <c r="E47" s="12" t="inlineStr">
        <is>
          <t>Y</t>
        </is>
      </c>
      <c r="F47" s="12" t="inlineStr">
        <is>
          <t>Y</t>
        </is>
      </c>
      <c r="G47" s="12" t="inlineStr">
        <is>
          <t>Y</t>
        </is>
      </c>
      <c r="H47" s="12" t="inlineStr">
        <is>
          <t>Y</t>
        </is>
      </c>
      <c r="I47" s="13" t="n"/>
      <c r="J47" s="13" t="n"/>
      <c r="K47" s="13" t="n"/>
    </row>
    <row r="48">
      <c r="B48" s="9" t="n"/>
      <c r="C48" s="10" t="inlineStr">
        <is>
          <t>Total current assets</t>
        </is>
      </c>
      <c r="D48" s="11" t="inlineStr">
        <is>
          <t>Subtotal</t>
        </is>
      </c>
      <c r="E48" s="14" t="inlineStr">
        <is>
          <t>N</t>
        </is>
      </c>
      <c r="F48" s="12" t="inlineStr">
        <is>
          <t>Y</t>
        </is>
      </c>
      <c r="G48" s="12" t="inlineStr">
        <is>
          <t>Y</t>
        </is>
      </c>
      <c r="H48" s="12" t="inlineStr">
        <is>
          <t>Y</t>
        </is>
      </c>
      <c r="I48" s="13" t="n"/>
      <c r="J48" s="13" t="n"/>
      <c r="K48" s="13" t="n"/>
    </row>
    <row r="49">
      <c r="B49" s="9" t="n"/>
      <c r="C49" s="10" t="inlineStr">
        <is>
          <t>PP&amp;E, net</t>
        </is>
      </c>
      <c r="D49" s="11" t="inlineStr"/>
      <c r="E49" s="12" t="inlineStr">
        <is>
          <t>Y</t>
        </is>
      </c>
      <c r="F49" s="12" t="inlineStr">
        <is>
          <t>Y</t>
        </is>
      </c>
      <c r="G49" s="12" t="inlineStr">
        <is>
          <t>Y</t>
        </is>
      </c>
      <c r="H49" s="12" t="inlineStr">
        <is>
          <t>Y</t>
        </is>
      </c>
      <c r="I49" s="13" t="n"/>
      <c r="J49" s="13" t="n"/>
      <c r="K49" s="13" t="n"/>
    </row>
    <row r="50">
      <c r="B50" s="9" t="n"/>
      <c r="C50" s="10" t="inlineStr">
        <is>
          <t>Goodwill</t>
        </is>
      </c>
      <c r="D50" s="11" t="inlineStr"/>
      <c r="E50" s="12" t="inlineStr">
        <is>
          <t>Y</t>
        </is>
      </c>
      <c r="F50" s="12" t="inlineStr">
        <is>
          <t>Y</t>
        </is>
      </c>
      <c r="G50" s="12" t="inlineStr">
        <is>
          <t>Y</t>
        </is>
      </c>
      <c r="H50" s="12" t="inlineStr">
        <is>
          <t>Y</t>
        </is>
      </c>
      <c r="I50" s="13" t="n"/>
      <c r="J50" s="13" t="n"/>
      <c r="K50" s="13" t="n"/>
    </row>
    <row r="51">
      <c r="B51" s="9" t="n"/>
      <c r="C51" s="10" t="inlineStr">
        <is>
          <t>Intangibles</t>
        </is>
      </c>
      <c r="D51" s="11" t="inlineStr"/>
      <c r="E51" s="12" t="inlineStr">
        <is>
          <t>Y</t>
        </is>
      </c>
      <c r="F51" s="12" t="inlineStr">
        <is>
          <t>Y</t>
        </is>
      </c>
      <c r="G51" s="12" t="inlineStr">
        <is>
          <t>Y</t>
        </is>
      </c>
      <c r="H51" s="12" t="inlineStr">
        <is>
          <t>Y</t>
        </is>
      </c>
      <c r="I51" s="13" t="n"/>
      <c r="J51" s="13" t="n"/>
      <c r="K51" s="13" t="n"/>
    </row>
    <row r="52">
      <c r="B52" s="9" t="n"/>
      <c r="C52" s="10" t="inlineStr">
        <is>
          <t>Total assets</t>
        </is>
      </c>
      <c r="D52" s="11" t="inlineStr"/>
      <c r="E52" s="12" t="inlineStr">
        <is>
          <t>Y</t>
        </is>
      </c>
      <c r="F52" s="12" t="inlineStr">
        <is>
          <t>Y</t>
        </is>
      </c>
      <c r="G52" s="12" t="inlineStr">
        <is>
          <t>Y</t>
        </is>
      </c>
      <c r="H52" s="12" t="inlineStr">
        <is>
          <t>Y</t>
        </is>
      </c>
      <c r="I52" s="13" t="n"/>
      <c r="J52" s="13" t="n"/>
      <c r="K52" s="13" t="n"/>
    </row>
    <row r="53">
      <c r="B53" s="9" t="n"/>
      <c r="C53" s="10" t="inlineStr">
        <is>
          <t>Accounts payable</t>
        </is>
      </c>
      <c r="D53" s="11" t="inlineStr"/>
      <c r="E53" s="12" t="inlineStr">
        <is>
          <t>Y</t>
        </is>
      </c>
      <c r="F53" s="12" t="inlineStr">
        <is>
          <t>Y</t>
        </is>
      </c>
      <c r="G53" s="12" t="inlineStr">
        <is>
          <t>Y</t>
        </is>
      </c>
      <c r="H53" s="12" t="inlineStr">
        <is>
          <t>Y</t>
        </is>
      </c>
      <c r="I53" s="13" t="n"/>
      <c r="J53" s="13" t="n"/>
      <c r="K53" s="13" t="n"/>
    </row>
    <row r="54">
      <c r="B54" s="9" t="n"/>
      <c r="C54" s="10" t="inlineStr">
        <is>
          <t>Income taxes payable</t>
        </is>
      </c>
      <c r="D54" s="15" t="inlineStr">
        <is>
          <t>*** On your CFS but missing here - a guaranteed imbalance</t>
        </is>
      </c>
      <c r="E54" s="14" t="inlineStr">
        <is>
          <t>N</t>
        </is>
      </c>
      <c r="F54" s="14" t="inlineStr">
        <is>
          <t>N</t>
        </is>
      </c>
      <c r="G54" s="12" t="inlineStr">
        <is>
          <t>Y</t>
        </is>
      </c>
      <c r="H54" s="14" t="inlineStr">
        <is>
          <t>N</t>
        </is>
      </c>
      <c r="I54" s="13" t="n"/>
      <c r="J54" s="13" t="n"/>
      <c r="K54" s="13" t="n"/>
    </row>
    <row r="55">
      <c r="B55" s="9" t="n"/>
      <c r="C55" s="10" t="inlineStr">
        <is>
          <t>Revolver</t>
        </is>
      </c>
      <c r="D55" s="11" t="inlineStr"/>
      <c r="E55" s="14" t="inlineStr">
        <is>
          <t>N</t>
        </is>
      </c>
      <c r="F55" s="12" t="inlineStr">
        <is>
          <t>Y</t>
        </is>
      </c>
      <c r="G55" s="12" t="inlineStr">
        <is>
          <t>Y</t>
        </is>
      </c>
      <c r="H55" s="12" t="inlineStr">
        <is>
          <t>Y</t>
        </is>
      </c>
      <c r="I55" s="13" t="n"/>
      <c r="J55" s="13" t="n"/>
      <c r="K55" s="13" t="n"/>
    </row>
    <row r="56">
      <c r="B56" s="9" t="n"/>
      <c r="C56" s="10" t="inlineStr">
        <is>
          <t>Short-term debt</t>
        </is>
      </c>
      <c r="D56" s="11" t="inlineStr"/>
      <c r="E56" s="12" t="inlineStr">
        <is>
          <t>Y</t>
        </is>
      </c>
      <c r="F56" s="12" t="inlineStr">
        <is>
          <t>Y</t>
        </is>
      </c>
      <c r="G56" s="12" t="inlineStr">
        <is>
          <t>Y</t>
        </is>
      </c>
      <c r="H56" s="12" t="inlineStr">
        <is>
          <t>Y</t>
        </is>
      </c>
      <c r="I56" s="13" t="n"/>
      <c r="J56" s="13" t="n"/>
      <c r="K56" s="13" t="n"/>
    </row>
    <row r="57">
      <c r="B57" s="9" t="n"/>
      <c r="C57" s="10" t="inlineStr">
        <is>
          <t>Total current liabilities</t>
        </is>
      </c>
      <c r="D57" s="11" t="inlineStr">
        <is>
          <t>Subtotal</t>
        </is>
      </c>
      <c r="E57" s="14" t="inlineStr">
        <is>
          <t>N</t>
        </is>
      </c>
      <c r="F57" s="12" t="inlineStr">
        <is>
          <t>Y</t>
        </is>
      </c>
      <c r="G57" s="12" t="inlineStr">
        <is>
          <t>Y</t>
        </is>
      </c>
      <c r="H57" s="12" t="inlineStr">
        <is>
          <t>Y</t>
        </is>
      </c>
      <c r="I57" s="13" t="n"/>
      <c r="J57" s="13" t="n"/>
      <c r="K57" s="13" t="n"/>
    </row>
    <row r="58">
      <c r="B58" s="9" t="n"/>
      <c r="C58" s="10" t="inlineStr">
        <is>
          <t>Long-term debt</t>
        </is>
      </c>
      <c r="D58" s="11" t="inlineStr"/>
      <c r="E58" s="12" t="inlineStr">
        <is>
          <t>Y</t>
        </is>
      </c>
      <c r="F58" s="12" t="inlineStr">
        <is>
          <t>Y</t>
        </is>
      </c>
      <c r="G58" s="12" t="inlineStr">
        <is>
          <t>Y</t>
        </is>
      </c>
      <c r="H58" s="12" t="inlineStr">
        <is>
          <t>Y</t>
        </is>
      </c>
      <c r="I58" s="13" t="n"/>
      <c r="J58" s="13" t="n"/>
      <c r="K58" s="13" t="n"/>
    </row>
    <row r="59">
      <c r="B59" s="9" t="n"/>
      <c r="C59" s="10" t="inlineStr">
        <is>
          <t>Total liabilities</t>
        </is>
      </c>
      <c r="D59" s="11" t="inlineStr"/>
      <c r="E59" s="12" t="inlineStr">
        <is>
          <t>Y</t>
        </is>
      </c>
      <c r="F59" s="12" t="inlineStr">
        <is>
          <t>Y</t>
        </is>
      </c>
      <c r="G59" s="12" t="inlineStr">
        <is>
          <t>Y</t>
        </is>
      </c>
      <c r="H59" s="12" t="inlineStr">
        <is>
          <t>Y</t>
        </is>
      </c>
      <c r="I59" s="13" t="n"/>
      <c r="J59" s="13" t="n"/>
      <c r="K59" s="13" t="n"/>
    </row>
    <row r="60">
      <c r="B60" s="9" t="n"/>
      <c r="C60" s="10" t="inlineStr">
        <is>
          <t>Share capital</t>
        </is>
      </c>
      <c r="D60" s="11" t="inlineStr"/>
      <c r="E60" s="12" t="inlineStr">
        <is>
          <t>Y</t>
        </is>
      </c>
      <c r="F60" s="12" t="inlineStr">
        <is>
          <t>Y</t>
        </is>
      </c>
      <c r="G60" s="12" t="inlineStr">
        <is>
          <t>Y</t>
        </is>
      </c>
      <c r="H60" s="12" t="inlineStr">
        <is>
          <t>Y</t>
        </is>
      </c>
      <c r="I60" s="13" t="n"/>
      <c r="J60" s="13" t="n"/>
      <c r="K60" s="13" t="n"/>
    </row>
    <row r="61">
      <c r="B61" s="9" t="n"/>
      <c r="C61" s="10" t="inlineStr">
        <is>
          <t>Retained earnings</t>
        </is>
      </c>
      <c r="D61" s="11" t="inlineStr"/>
      <c r="E61" s="12" t="inlineStr">
        <is>
          <t>Y</t>
        </is>
      </c>
      <c r="F61" s="12" t="inlineStr">
        <is>
          <t>Y</t>
        </is>
      </c>
      <c r="G61" s="12" t="inlineStr">
        <is>
          <t>Y</t>
        </is>
      </c>
      <c r="H61" s="12" t="inlineStr">
        <is>
          <t>Y</t>
        </is>
      </c>
      <c r="I61" s="13" t="n"/>
      <c r="J61" s="13" t="n"/>
      <c r="K61" s="13" t="n"/>
    </row>
    <row r="62">
      <c r="B62" s="9" t="n"/>
      <c r="C62" s="10" t="inlineStr">
        <is>
          <t>Total shareholders' equity</t>
        </is>
      </c>
      <c r="D62" s="11" t="inlineStr"/>
      <c r="E62" s="12" t="inlineStr">
        <is>
          <t>Y</t>
        </is>
      </c>
      <c r="F62" s="12" t="inlineStr">
        <is>
          <t>Y</t>
        </is>
      </c>
      <c r="G62" s="12" t="inlineStr">
        <is>
          <t>Y</t>
        </is>
      </c>
      <c r="H62" s="12" t="inlineStr">
        <is>
          <t>Y</t>
        </is>
      </c>
      <c r="I62" s="13" t="n"/>
      <c r="J62" s="13" t="n"/>
      <c r="K62" s="13" t="n"/>
    </row>
    <row r="63">
      <c r="B63" s="9" t="n"/>
      <c r="C63" s="10" t="inlineStr">
        <is>
          <t>Total liabilities and equity</t>
        </is>
      </c>
      <c r="D63" s="11" t="inlineStr"/>
      <c r="E63" s="12" t="inlineStr">
        <is>
          <t>Y</t>
        </is>
      </c>
      <c r="F63" s="12" t="inlineStr">
        <is>
          <t>Y</t>
        </is>
      </c>
      <c r="G63" s="12" t="inlineStr">
        <is>
          <t>Y</t>
        </is>
      </c>
      <c r="H63" s="12" t="inlineStr">
        <is>
          <t>Y</t>
        </is>
      </c>
      <c r="I63" s="13" t="n"/>
      <c r="J63" s="13" t="n"/>
      <c r="K63" s="13" t="n"/>
    </row>
    <row r="64">
      <c r="B64" s="9" t="n"/>
      <c r="C64" s="10" t="inlineStr">
        <is>
          <t>BALANCE CHECK (assets less L&amp;E)</t>
        </is>
      </c>
      <c r="D64" s="15" t="inlineStr">
        <is>
          <t>*** The single most important row in the model</t>
        </is>
      </c>
      <c r="E64" s="14" t="inlineStr">
        <is>
          <t>N</t>
        </is>
      </c>
      <c r="F64" s="12" t="inlineStr">
        <is>
          <t>Y</t>
        </is>
      </c>
      <c r="G64" s="12" t="inlineStr">
        <is>
          <t>Y</t>
        </is>
      </c>
      <c r="H64" s="12" t="inlineStr">
        <is>
          <t>Y</t>
        </is>
      </c>
      <c r="I64" s="13" t="n"/>
      <c r="J64" s="13" t="n"/>
      <c r="K64" s="13" t="n"/>
    </row>
    <row r="65">
      <c r="B65" s="7" t="inlineStr">
        <is>
          <t>CASH FLOW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</row>
    <row r="66">
      <c r="B66" s="9" t="n"/>
      <c r="C66" s="10" t="inlineStr">
        <is>
          <t>Net income</t>
        </is>
      </c>
      <c r="D66" s="11" t="inlineStr"/>
      <c r="E66" s="12" t="inlineStr">
        <is>
          <t>Y</t>
        </is>
      </c>
      <c r="F66" s="12" t="inlineStr">
        <is>
          <t>Y</t>
        </is>
      </c>
      <c r="G66" s="12" t="inlineStr">
        <is>
          <t>Y</t>
        </is>
      </c>
      <c r="H66" s="12" t="inlineStr">
        <is>
          <t>Y</t>
        </is>
      </c>
      <c r="I66" s="13" t="n"/>
      <c r="J66" s="13" t="n"/>
      <c r="K66" s="13" t="n"/>
    </row>
    <row r="67">
      <c r="B67" s="9" t="n"/>
      <c r="C67" s="10" t="inlineStr">
        <is>
          <t>Depreciation add-back</t>
        </is>
      </c>
      <c r="D67" s="11" t="inlineStr"/>
      <c r="E67" s="12" t="inlineStr">
        <is>
          <t>Y</t>
        </is>
      </c>
      <c r="F67" s="12" t="inlineStr">
        <is>
          <t>Y</t>
        </is>
      </c>
      <c r="G67" s="12" t="inlineStr">
        <is>
          <t>Y</t>
        </is>
      </c>
      <c r="H67" s="12" t="inlineStr">
        <is>
          <t>Y</t>
        </is>
      </c>
      <c r="I67" s="13" t="n"/>
      <c r="J67" s="13" t="n"/>
      <c r="K67" s="13" t="n"/>
    </row>
    <row r="68">
      <c r="B68" s="9" t="n"/>
      <c r="C68" s="10" t="inlineStr">
        <is>
          <t>Change in accounts receivable</t>
        </is>
      </c>
      <c r="D68" s="11" t="inlineStr"/>
      <c r="E68" s="12" t="inlineStr">
        <is>
          <t>Y</t>
        </is>
      </c>
      <c r="F68" s="12" t="inlineStr">
        <is>
          <t>Y</t>
        </is>
      </c>
      <c r="G68" s="12" t="inlineStr">
        <is>
          <t>Y</t>
        </is>
      </c>
      <c r="H68" s="12" t="inlineStr">
        <is>
          <t>Y</t>
        </is>
      </c>
      <c r="I68" s="13" t="n"/>
      <c r="J68" s="13" t="n"/>
      <c r="K68" s="13" t="n"/>
    </row>
    <row r="69">
      <c r="B69" s="9" t="n"/>
      <c r="C69" s="10" t="inlineStr">
        <is>
          <t>Change in inventory</t>
        </is>
      </c>
      <c r="D69" s="11" t="inlineStr"/>
      <c r="E69" s="12" t="inlineStr">
        <is>
          <t>Y</t>
        </is>
      </c>
      <c r="F69" s="12" t="inlineStr">
        <is>
          <t>Y</t>
        </is>
      </c>
      <c r="G69" s="12" t="inlineStr">
        <is>
          <t>Y</t>
        </is>
      </c>
      <c r="H69" s="12" t="inlineStr">
        <is>
          <t>Y</t>
        </is>
      </c>
      <c r="I69" s="13" t="n"/>
      <c r="J69" s="13" t="n"/>
      <c r="K69" s="13" t="n"/>
    </row>
    <row r="70">
      <c r="B70" s="9" t="n"/>
      <c r="C70" s="10" t="inlineStr">
        <is>
          <t>Change in accounts payable</t>
        </is>
      </c>
      <c r="D70" s="11" t="inlineStr"/>
      <c r="E70" s="12" t="inlineStr">
        <is>
          <t>Y</t>
        </is>
      </c>
      <c r="F70" s="12" t="inlineStr">
        <is>
          <t>Y</t>
        </is>
      </c>
      <c r="G70" s="12" t="inlineStr">
        <is>
          <t>Y</t>
        </is>
      </c>
      <c r="H70" s="12" t="inlineStr">
        <is>
          <t>Y</t>
        </is>
      </c>
      <c r="I70" s="13" t="n"/>
      <c r="J70" s="13" t="n"/>
      <c r="K70" s="13" t="n"/>
    </row>
    <row r="71">
      <c r="B71" s="9" t="n"/>
      <c r="C71" s="10" t="inlineStr">
        <is>
          <t>Change in income taxes payable</t>
        </is>
      </c>
      <c r="D71" s="11" t="inlineStr"/>
      <c r="E71" s="12" t="inlineStr">
        <is>
          <t>Y</t>
        </is>
      </c>
      <c r="F71" s="12" t="inlineStr">
        <is>
          <t>Y</t>
        </is>
      </c>
      <c r="G71" s="12" t="inlineStr">
        <is>
          <t>Y</t>
        </is>
      </c>
      <c r="H71" s="12" t="inlineStr">
        <is>
          <t>Y</t>
        </is>
      </c>
      <c r="I71" s="13" t="n"/>
      <c r="J71" s="13" t="n"/>
      <c r="K71" s="13" t="n"/>
    </row>
    <row r="72">
      <c r="B72" s="9" t="n"/>
      <c r="C72" s="10" t="inlineStr">
        <is>
          <t>Cash from operations</t>
        </is>
      </c>
      <c r="D72" s="11" t="inlineStr"/>
      <c r="E72" s="12" t="inlineStr">
        <is>
          <t>Y</t>
        </is>
      </c>
      <c r="F72" s="12" t="inlineStr">
        <is>
          <t>Y</t>
        </is>
      </c>
      <c r="G72" s="12" t="inlineStr">
        <is>
          <t>Y</t>
        </is>
      </c>
      <c r="H72" s="12" t="inlineStr">
        <is>
          <t>Y</t>
        </is>
      </c>
      <c r="I72" s="13" t="n"/>
      <c r="J72" s="13" t="n"/>
      <c r="K72" s="13" t="n"/>
    </row>
    <row r="73">
      <c r="B73" s="9" t="n"/>
      <c r="C73" s="10" t="inlineStr">
        <is>
          <t>Capital expenditure</t>
        </is>
      </c>
      <c r="D73" s="11" t="inlineStr"/>
      <c r="E73" s="12" t="inlineStr">
        <is>
          <t>Y</t>
        </is>
      </c>
      <c r="F73" s="12" t="inlineStr">
        <is>
          <t>Y</t>
        </is>
      </c>
      <c r="G73" s="12" t="inlineStr">
        <is>
          <t>Y</t>
        </is>
      </c>
      <c r="H73" s="12" t="inlineStr">
        <is>
          <t>Y</t>
        </is>
      </c>
      <c r="I73" s="13" t="n"/>
      <c r="J73" s="13" t="n"/>
      <c r="K73" s="13" t="n"/>
    </row>
    <row r="74">
      <c r="B74" s="9" t="n"/>
      <c r="C74" s="10" t="inlineStr">
        <is>
          <t>Cash from investing</t>
        </is>
      </c>
      <c r="D74" s="11" t="inlineStr"/>
      <c r="E74" s="12" t="inlineStr">
        <is>
          <t>Y</t>
        </is>
      </c>
      <c r="F74" s="12" t="inlineStr">
        <is>
          <t>Y</t>
        </is>
      </c>
      <c r="G74" s="12" t="inlineStr">
        <is>
          <t>Y</t>
        </is>
      </c>
      <c r="H74" s="12" t="inlineStr">
        <is>
          <t>Y</t>
        </is>
      </c>
      <c r="I74" s="13" t="n"/>
      <c r="J74" s="13" t="n"/>
      <c r="K74" s="13" t="n"/>
    </row>
    <row r="75">
      <c r="B75" s="9" t="n"/>
      <c r="C75" s="10" t="inlineStr">
        <is>
          <t>Issuance / (repayment) of debt</t>
        </is>
      </c>
      <c r="D75" s="11" t="inlineStr"/>
      <c r="E75" s="12" t="inlineStr">
        <is>
          <t>Y</t>
        </is>
      </c>
      <c r="F75" s="12" t="inlineStr">
        <is>
          <t>Y</t>
        </is>
      </c>
      <c r="G75" s="12" t="inlineStr">
        <is>
          <t>Y</t>
        </is>
      </c>
      <c r="H75" s="12" t="inlineStr">
        <is>
          <t>Y</t>
        </is>
      </c>
      <c r="I75" s="13" t="n"/>
      <c r="J75" s="13" t="n"/>
      <c r="K75" s="13" t="n"/>
    </row>
    <row r="76">
      <c r="B76" s="9" t="n"/>
      <c r="C76" s="10" t="inlineStr">
        <is>
          <t>Revolver draw / (repayment)</t>
        </is>
      </c>
      <c r="D76" s="11" t="inlineStr"/>
      <c r="E76" s="14" t="inlineStr">
        <is>
          <t>N</t>
        </is>
      </c>
      <c r="F76" s="14" t="inlineStr">
        <is>
          <t>N</t>
        </is>
      </c>
      <c r="G76" s="14" t="inlineStr">
        <is>
          <t>N</t>
        </is>
      </c>
      <c r="H76" s="12" t="inlineStr">
        <is>
          <t>Y</t>
        </is>
      </c>
      <c r="I76" s="13" t="n"/>
      <c r="J76" s="13" t="n"/>
      <c r="K76" s="13" t="n"/>
    </row>
    <row r="77">
      <c r="B77" s="9" t="n"/>
      <c r="C77" s="10" t="inlineStr">
        <is>
          <t>Issuance / (repayment) of equity</t>
        </is>
      </c>
      <c r="D77" s="11" t="inlineStr"/>
      <c r="E77" s="12" t="inlineStr">
        <is>
          <t>Y</t>
        </is>
      </c>
      <c r="F77" s="12" t="inlineStr">
        <is>
          <t>Y</t>
        </is>
      </c>
      <c r="G77" s="12" t="inlineStr">
        <is>
          <t>Y</t>
        </is>
      </c>
      <c r="H77" s="12" t="inlineStr">
        <is>
          <t>Y</t>
        </is>
      </c>
      <c r="I77" s="13" t="n"/>
      <c r="J77" s="13" t="n"/>
      <c r="K77" s="13" t="n"/>
    </row>
    <row r="78">
      <c r="B78" s="9" t="n"/>
      <c r="C78" s="10" t="inlineStr">
        <is>
          <t>Dividends paid</t>
        </is>
      </c>
      <c r="D78" s="15" t="inlineStr">
        <is>
          <t>*** On your IS but missing here - cash never leaves</t>
        </is>
      </c>
      <c r="E78" s="14" t="inlineStr">
        <is>
          <t>N</t>
        </is>
      </c>
      <c r="F78" s="12" t="inlineStr">
        <is>
          <t>Y</t>
        </is>
      </c>
      <c r="G78" s="12" t="inlineStr">
        <is>
          <t>Y</t>
        </is>
      </c>
      <c r="H78" s="12" t="inlineStr">
        <is>
          <t>Y</t>
        </is>
      </c>
      <c r="I78" s="13" t="n"/>
      <c r="J78" s="13" t="n"/>
      <c r="K78" s="13" t="n"/>
    </row>
    <row r="79">
      <c r="B79" s="9" t="n"/>
      <c r="C79" s="10" t="inlineStr">
        <is>
          <t>Cash from financing</t>
        </is>
      </c>
      <c r="D79" s="11" t="inlineStr"/>
      <c r="E79" s="12" t="inlineStr">
        <is>
          <t>Y</t>
        </is>
      </c>
      <c r="F79" s="12" t="inlineStr">
        <is>
          <t>Y</t>
        </is>
      </c>
      <c r="G79" s="12" t="inlineStr">
        <is>
          <t>Y</t>
        </is>
      </c>
      <c r="H79" s="12" t="inlineStr">
        <is>
          <t>Y</t>
        </is>
      </c>
      <c r="I79" s="13" t="n"/>
      <c r="J79" s="13" t="n"/>
      <c r="K79" s="13" t="n"/>
    </row>
    <row r="80">
      <c r="B80" s="9" t="n"/>
      <c r="C80" s="10" t="inlineStr">
        <is>
          <t>Net increase / (decrease) in cash</t>
        </is>
      </c>
      <c r="D80" s="11" t="inlineStr"/>
      <c r="E80" s="12" t="inlineStr">
        <is>
          <t>Y</t>
        </is>
      </c>
      <c r="F80" s="12" t="inlineStr">
        <is>
          <t>Y</t>
        </is>
      </c>
      <c r="G80" s="12" t="inlineStr">
        <is>
          <t>Y</t>
        </is>
      </c>
      <c r="H80" s="12" t="inlineStr">
        <is>
          <t>Y</t>
        </is>
      </c>
      <c r="I80" s="13" t="n"/>
      <c r="J80" s="13" t="n"/>
      <c r="K80" s="13" t="n"/>
    </row>
    <row r="81">
      <c r="B81" s="9" t="n"/>
      <c r="C81" s="10" t="inlineStr">
        <is>
          <t>Opening cash balance</t>
        </is>
      </c>
      <c r="D81" s="11" t="inlineStr"/>
      <c r="E81" s="12" t="inlineStr">
        <is>
          <t>Y</t>
        </is>
      </c>
      <c r="F81" s="12" t="inlineStr">
        <is>
          <t>Y</t>
        </is>
      </c>
      <c r="G81" s="12" t="inlineStr">
        <is>
          <t>Y</t>
        </is>
      </c>
      <c r="H81" s="12" t="inlineStr">
        <is>
          <t>Y</t>
        </is>
      </c>
      <c r="I81" s="13" t="n"/>
      <c r="J81" s="13" t="n"/>
      <c r="K81" s="13" t="n"/>
    </row>
    <row r="82">
      <c r="B82" s="9" t="n"/>
      <c r="C82" s="10" t="inlineStr">
        <is>
          <t>Closing cash balance</t>
        </is>
      </c>
      <c r="D82" s="11" t="inlineStr"/>
      <c r="E82" s="12" t="inlineStr">
        <is>
          <t>Y</t>
        </is>
      </c>
      <c r="F82" s="12" t="inlineStr">
        <is>
          <t>Y</t>
        </is>
      </c>
      <c r="G82" s="12" t="inlineStr">
        <is>
          <t>Y</t>
        </is>
      </c>
      <c r="H82" s="12" t="inlineStr">
        <is>
          <t>Y</t>
        </is>
      </c>
      <c r="I82" s="13" t="n"/>
      <c r="J82" s="13" t="n"/>
      <c r="K82" s="13" t="n"/>
    </row>
    <row r="83">
      <c r="B83" s="7" t="inlineStr">
        <is>
          <t>SCHEDULES</t>
        </is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</row>
    <row r="84">
      <c r="B84" s="9" t="n"/>
      <c r="C84" s="10" t="inlineStr">
        <is>
          <t>Working capital schedule</t>
        </is>
      </c>
      <c r="D84" s="11" t="inlineStr">
        <is>
          <t>You started this one</t>
        </is>
      </c>
      <c r="E84" s="12" t="inlineStr">
        <is>
          <t>Y</t>
        </is>
      </c>
      <c r="F84" s="12" t="inlineStr">
        <is>
          <t>Y</t>
        </is>
      </c>
      <c r="G84" s="12" t="inlineStr">
        <is>
          <t>Y</t>
        </is>
      </c>
      <c r="H84" s="12" t="inlineStr">
        <is>
          <t>Y</t>
        </is>
      </c>
      <c r="I84" s="13" t="n"/>
      <c r="J84" s="13" t="n"/>
      <c r="K84" s="13" t="n"/>
    </row>
    <row r="85">
      <c r="B85" s="9" t="n"/>
      <c r="C85" s="10" t="inlineStr">
        <is>
          <t>PP&amp;E schedule (open + capex - dep = close)</t>
        </is>
      </c>
      <c r="D85" s="11" t="inlineStr"/>
      <c r="E85" s="14" t="inlineStr">
        <is>
          <t>N</t>
        </is>
      </c>
      <c r="F85" s="12" t="inlineStr">
        <is>
          <t>Y</t>
        </is>
      </c>
      <c r="G85" s="12" t="inlineStr">
        <is>
          <t>Y</t>
        </is>
      </c>
      <c r="H85" s="14" t="inlineStr">
        <is>
          <t>N</t>
        </is>
      </c>
      <c r="I85" s="13" t="n"/>
      <c r="J85" s="13" t="n"/>
      <c r="K85" s="13" t="n"/>
    </row>
    <row r="86">
      <c r="B86" s="9" t="n"/>
      <c r="C86" s="10" t="inlineStr">
        <is>
          <t>Debt schedule (open + draw - repay = close)</t>
        </is>
      </c>
      <c r="D86" s="11" t="inlineStr"/>
      <c r="E86" s="14" t="inlineStr">
        <is>
          <t>N</t>
        </is>
      </c>
      <c r="F86" s="12" t="inlineStr">
        <is>
          <t>Y</t>
        </is>
      </c>
      <c r="G86" s="12" t="inlineStr">
        <is>
          <t>Y</t>
        </is>
      </c>
      <c r="H86" s="12" t="inlineStr">
        <is>
          <t>Y</t>
        </is>
      </c>
      <c r="I86" s="13" t="n"/>
      <c r="J86" s="13" t="n"/>
      <c r="K86" s="13" t="n"/>
    </row>
    <row r="87">
      <c r="B87" s="9" t="n"/>
      <c r="C87" s="10" t="inlineStr">
        <is>
          <t>Equity schedule (open + NI - dividends = close)</t>
        </is>
      </c>
      <c r="D87" s="11" t="inlineStr"/>
      <c r="E87" s="14" t="inlineStr">
        <is>
          <t>N</t>
        </is>
      </c>
      <c r="F87" s="12" t="inlineStr">
        <is>
          <t>Y</t>
        </is>
      </c>
      <c r="G87" s="12" t="inlineStr">
        <is>
          <t>Y</t>
        </is>
      </c>
      <c r="H87" s="12" t="inlineStr">
        <is>
          <t>Y</t>
        </is>
      </c>
      <c r="I87" s="13" t="n"/>
      <c r="J87" s="13" t="n"/>
      <c r="K87" s="13" t="n"/>
    </row>
    <row r="88">
      <c r="B88" s="9" t="n"/>
      <c r="C88" s="10" t="inlineStr">
        <is>
          <t>Revolver / cash sweep block</t>
        </is>
      </c>
      <c r="D88" s="11" t="inlineStr"/>
      <c r="E88" s="14" t="inlineStr">
        <is>
          <t>N</t>
        </is>
      </c>
      <c r="F88" s="12" t="inlineStr">
        <is>
          <t>Y</t>
        </is>
      </c>
      <c r="G88" s="14" t="inlineStr">
        <is>
          <t>N</t>
        </is>
      </c>
      <c r="H88" s="12" t="inlineStr">
        <is>
          <t>Y</t>
        </is>
      </c>
      <c r="I88" s="13" t="n"/>
      <c r="J88" s="13" t="n"/>
      <c r="K88" s="13" t="n"/>
    </row>
    <row r="89">
      <c r="B89" s="7" t="inlineStr">
        <is>
          <t>STRUCTURE</t>
        </is>
      </c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</row>
    <row r="90">
      <c r="B90" s="9" t="n"/>
      <c r="C90" s="10" t="inlineStr">
        <is>
          <t>Period column headers (FY years)</t>
        </is>
      </c>
      <c r="D90" s="11" t="inlineStr">
        <is>
          <t>No columns at all yet</t>
        </is>
      </c>
      <c r="E90" s="14" t="inlineStr">
        <is>
          <t>N</t>
        </is>
      </c>
      <c r="F90" s="12" t="inlineStr">
        <is>
          <t>Y</t>
        </is>
      </c>
      <c r="G90" s="12" t="inlineStr">
        <is>
          <t>Y</t>
        </is>
      </c>
      <c r="H90" s="49" t="inlineStr">
        <is>
          <t>N</t>
        </is>
      </c>
      <c r="I90" s="13" t="n"/>
      <c r="J90" s="13" t="n"/>
      <c r="K90" s="13" t="n"/>
    </row>
    <row r="91">
      <c r="B91" s="9" t="n"/>
      <c r="C91" s="10" t="inlineStr">
        <is>
          <t>Historical vs. projected marked</t>
        </is>
      </c>
      <c r="D91" s="11" t="inlineStr"/>
      <c r="E91" s="14" t="inlineStr">
        <is>
          <t>N</t>
        </is>
      </c>
      <c r="F91" s="14" t="inlineStr">
        <is>
          <t>N</t>
        </is>
      </c>
      <c r="G91" s="14" t="inlineStr">
        <is>
          <t>N</t>
        </is>
      </c>
      <c r="H91" s="49" t="inlineStr">
        <is>
          <t>N</t>
        </is>
      </c>
      <c r="I91" s="13" t="n"/>
      <c r="J91" s="13" t="n"/>
      <c r="K91" s="13" t="n"/>
    </row>
    <row r="92">
      <c r="B92" s="9" t="n"/>
      <c r="C92" s="10" t="inlineStr">
        <is>
          <t>Blue inputs / black formulas convention</t>
        </is>
      </c>
      <c r="D92" s="11" t="inlineStr"/>
      <c r="E92" s="14" t="inlineStr">
        <is>
          <t>N</t>
        </is>
      </c>
      <c r="F92" s="14" t="inlineStr">
        <is>
          <t>N</t>
        </is>
      </c>
      <c r="G92" s="14" t="inlineStr">
        <is>
          <t>N</t>
        </is>
      </c>
      <c r="H92" s="49" t="inlineStr">
        <is>
          <t>N</t>
        </is>
      </c>
      <c r="I92" s="13" t="n"/>
      <c r="J92" s="13" t="n"/>
      <c r="K92" s="13" t="n"/>
    </row>
    <row r="93">
      <c r="B93" s="9" t="n"/>
      <c r="C93" s="10" t="inlineStr">
        <is>
          <t>Units named in a header ($mm)</t>
        </is>
      </c>
      <c r="D93" s="11" t="inlineStr"/>
      <c r="E93" s="14" t="inlineStr">
        <is>
          <t>N</t>
        </is>
      </c>
      <c r="F93" s="12" t="inlineStr">
        <is>
          <t>Y</t>
        </is>
      </c>
      <c r="G93" s="12" t="inlineStr">
        <is>
          <t>Y</t>
        </is>
      </c>
      <c r="H93" s="49" t="inlineStr">
        <is>
          <t>N</t>
        </is>
      </c>
      <c r="I93" s="13" t="n"/>
      <c r="J93" s="13" t="n"/>
      <c r="K93" s="13" t="n"/>
    </row>
    <row r="94"/>
    <row r="95">
      <c r="B95" s="3" t="inlineStr">
        <is>
          <t>BY BLOCK</t>
        </is>
      </c>
    </row>
    <row r="96">
      <c r="B96" s="6" t="inlineStr">
        <is>
          <t>Block</t>
        </is>
      </c>
      <c r="C96" s="6" t="inlineStr">
        <is>
          <t>Items</t>
        </is>
      </c>
      <c r="D96" s="16" t="inlineStr"/>
      <c r="E96" s="4" t="inlineStr">
        <is>
          <t>Day 1</t>
        </is>
      </c>
      <c r="F96" s="4" t="inlineStr">
        <is>
          <t>Day 2</t>
        </is>
      </c>
      <c r="G96" s="4" t="inlineStr">
        <is>
          <t>Day 3</t>
        </is>
      </c>
      <c r="H96" s="4" t="inlineStr">
        <is>
          <t>Day 4</t>
        </is>
      </c>
      <c r="I96" s="4" t="inlineStr">
        <is>
          <t>Day 5</t>
        </is>
      </c>
      <c r="J96" s="4" t="inlineStr">
        <is>
          <t>Day 6</t>
        </is>
      </c>
      <c r="K96" s="4" t="inlineStr">
        <is>
          <t>Day 7</t>
        </is>
      </c>
    </row>
    <row r="97">
      <c r="B97" s="17" t="inlineStr">
        <is>
          <t>ASSUMPTIONS</t>
        </is>
      </c>
      <c r="C97" s="18">
        <f>COUNTA(C11:C28)</f>
        <v/>
      </c>
      <c r="D97" s="9" t="n"/>
      <c r="E97" s="18">
        <f>COUNTIF(E11:E28,"Y")&amp;" / "&amp;COUNTA(C11:C28)</f>
        <v/>
      </c>
      <c r="F97" s="18">
        <f>COUNTIF(F11:F28,"Y")&amp;" / "&amp;COUNTA(C11:C28)</f>
        <v/>
      </c>
      <c r="G97" s="18">
        <f>COUNTIF(G11:G28,"Y")&amp;" / "&amp;COUNTA(C11:C28)</f>
        <v/>
      </c>
      <c r="H97" s="18">
        <f>COUNTIF(H11:H28,"Y")&amp;" / "&amp;COUNTA(C11:C28)</f>
        <v/>
      </c>
      <c r="I97" s="18">
        <f>COUNTIF(I11:I28,"Y")&amp;" / "&amp;COUNTA(C11:C28)</f>
        <v/>
      </c>
      <c r="J97" s="18">
        <f>COUNTIF(J11:J28,"Y")&amp;" / "&amp;COUNTA(C11:C28)</f>
        <v/>
      </c>
      <c r="K97" s="18">
        <f>COUNTIF(K11:K28,"Y")&amp;" / "&amp;COUNTA(C11:C28)</f>
        <v/>
      </c>
    </row>
    <row r="98">
      <c r="B98" s="17" t="inlineStr">
        <is>
          <t>INCOME STATEMENT</t>
        </is>
      </c>
      <c r="C98" s="18">
        <f>COUNTA(C30:C43)</f>
        <v/>
      </c>
      <c r="D98" s="9" t="n"/>
      <c r="E98" s="18">
        <f>COUNTIF(E30:E43,"Y")&amp;" / "&amp;COUNTA(C30:C43)</f>
        <v/>
      </c>
      <c r="F98" s="18">
        <f>COUNTIF(F30:F43,"Y")&amp;" / "&amp;COUNTA(C30:C43)</f>
        <v/>
      </c>
      <c r="G98" s="18">
        <f>COUNTIF(G30:G43,"Y")&amp;" / "&amp;COUNTA(C30:C43)</f>
        <v/>
      </c>
      <c r="H98" s="18">
        <f>COUNTIF(H30:H43,"Y")&amp;" / "&amp;COUNTA(C30:C43)</f>
        <v/>
      </c>
      <c r="I98" s="18">
        <f>COUNTIF(I30:I43,"Y")&amp;" / "&amp;COUNTA(C30:C43)</f>
        <v/>
      </c>
      <c r="J98" s="18">
        <f>COUNTIF(J30:J43,"Y")&amp;" / "&amp;COUNTA(C30:C43)</f>
        <v/>
      </c>
      <c r="K98" s="18">
        <f>COUNTIF(K30:K43,"Y")&amp;" / "&amp;COUNTA(C30:C43)</f>
        <v/>
      </c>
    </row>
    <row r="99">
      <c r="B99" s="17" t="inlineStr">
        <is>
          <t>BALANCE SHEET</t>
        </is>
      </c>
      <c r="C99" s="18">
        <f>COUNTA(C45:C64)</f>
        <v/>
      </c>
      <c r="D99" s="9" t="n"/>
      <c r="E99" s="18">
        <f>COUNTIF(E45:E64,"Y")&amp;" / "&amp;COUNTA(C45:C64)</f>
        <v/>
      </c>
      <c r="F99" s="18">
        <f>COUNTIF(F45:F64,"Y")&amp;" / "&amp;COUNTA(C45:C64)</f>
        <v/>
      </c>
      <c r="G99" s="18">
        <f>COUNTIF(G45:G64,"Y")&amp;" / "&amp;COUNTA(C45:C64)</f>
        <v/>
      </c>
      <c r="H99" s="18">
        <f>COUNTIF(H45:H64,"Y")&amp;" / "&amp;COUNTA(C45:C64)</f>
        <v/>
      </c>
      <c r="I99" s="18">
        <f>COUNTIF(I45:I64,"Y")&amp;" / "&amp;COUNTA(C45:C64)</f>
        <v/>
      </c>
      <c r="J99" s="18">
        <f>COUNTIF(J45:J64,"Y")&amp;" / "&amp;COUNTA(C45:C64)</f>
        <v/>
      </c>
      <c r="K99" s="18">
        <f>COUNTIF(K45:K64,"Y")&amp;" / "&amp;COUNTA(C45:C64)</f>
        <v/>
      </c>
    </row>
    <row r="100">
      <c r="B100" s="17" t="inlineStr">
        <is>
          <t>CASH FLOW</t>
        </is>
      </c>
      <c r="C100" s="18">
        <f>COUNTA(C66:C82)</f>
        <v/>
      </c>
      <c r="D100" s="9" t="n"/>
      <c r="E100" s="18">
        <f>COUNTIF(E66:E82,"Y")&amp;" / "&amp;COUNTA(C66:C82)</f>
        <v/>
      </c>
      <c r="F100" s="18">
        <f>COUNTIF(F66:F82,"Y")&amp;" / "&amp;COUNTA(C66:C82)</f>
        <v/>
      </c>
      <c r="G100" s="18">
        <f>COUNTIF(G66:G82,"Y")&amp;" / "&amp;COUNTA(C66:C82)</f>
        <v/>
      </c>
      <c r="H100" s="18">
        <f>COUNTIF(H66:H82,"Y")&amp;" / "&amp;COUNTA(C66:C82)</f>
        <v/>
      </c>
      <c r="I100" s="18">
        <f>COUNTIF(I66:I82,"Y")&amp;" / "&amp;COUNTA(C66:C82)</f>
        <v/>
      </c>
      <c r="J100" s="18">
        <f>COUNTIF(J66:J82,"Y")&amp;" / "&amp;COUNTA(C66:C82)</f>
        <v/>
      </c>
      <c r="K100" s="18">
        <f>COUNTIF(K66:K82,"Y")&amp;" / "&amp;COUNTA(C66:C82)</f>
        <v/>
      </c>
    </row>
    <row r="101">
      <c r="B101" s="17" t="inlineStr">
        <is>
          <t>SCHEDULES</t>
        </is>
      </c>
      <c r="C101" s="18">
        <f>COUNTA(C84:C88)</f>
        <v/>
      </c>
      <c r="D101" s="9" t="n"/>
      <c r="E101" s="18">
        <f>COUNTIF(E84:E88,"Y")&amp;" / "&amp;COUNTA(C84:C88)</f>
        <v/>
      </c>
      <c r="F101" s="18">
        <f>COUNTIF(F84:F88,"Y")&amp;" / "&amp;COUNTA(C84:C88)</f>
        <v/>
      </c>
      <c r="G101" s="18">
        <f>COUNTIF(G84:G88,"Y")&amp;" / "&amp;COUNTA(C84:C88)</f>
        <v/>
      </c>
      <c r="H101" s="18">
        <f>COUNTIF(H84:H88,"Y")&amp;" / "&amp;COUNTA(C84:C88)</f>
        <v/>
      </c>
      <c r="I101" s="18">
        <f>COUNTIF(I84:I88,"Y")&amp;" / "&amp;COUNTA(C84:C88)</f>
        <v/>
      </c>
      <c r="J101" s="18">
        <f>COUNTIF(J84:J88,"Y")&amp;" / "&amp;COUNTA(C84:C88)</f>
        <v/>
      </c>
      <c r="K101" s="18">
        <f>COUNTIF(K84:K88,"Y")&amp;" / "&amp;COUNTA(C84:C88)</f>
        <v/>
      </c>
    </row>
    <row r="102">
      <c r="B102" s="17" t="inlineStr">
        <is>
          <t>STRUCTURE</t>
        </is>
      </c>
      <c r="C102" s="18">
        <f>COUNTA(C90:C93)</f>
        <v/>
      </c>
      <c r="D102" s="9" t="n"/>
      <c r="E102" s="18">
        <f>COUNTIF(E90:E93,"Y")&amp;" / "&amp;COUNTA(C90:C93)</f>
        <v/>
      </c>
      <c r="F102" s="18">
        <f>COUNTIF(F90:F93,"Y")&amp;" / "&amp;COUNTA(C90:C93)</f>
        <v/>
      </c>
      <c r="G102" s="18">
        <f>COUNTIF(G90:G93,"Y")&amp;" / "&amp;COUNTA(C90:C93)</f>
        <v/>
      </c>
      <c r="H102" s="18">
        <f>COUNTIF(H90:H93,"Y")&amp;" / "&amp;COUNTA(C90:C93)</f>
        <v/>
      </c>
      <c r="I102" s="18">
        <f>COUNTIF(I90:I93,"Y")&amp;" / "&amp;COUNTA(C90:C93)</f>
        <v/>
      </c>
      <c r="J102" s="18">
        <f>COUNTIF(J90:J93,"Y")&amp;" / "&amp;COUNTA(C90:C93)</f>
        <v/>
      </c>
      <c r="K102" s="18">
        <f>COUNTIF(K90:K93,"Y")&amp;" / "&amp;COUNTA(C90:C93)</f>
        <v/>
      </c>
    </row>
    <row r="103">
      <c r="B103" s="19" t="inlineStr">
        <is>
          <t>TOTAL</t>
        </is>
      </c>
      <c r="C103" s="20">
        <f>COUNTA(C10:C93)</f>
        <v/>
      </c>
      <c r="D103" s="8" t="n"/>
      <c r="E103" s="20">
        <f>COUNTIF(E10:E93,"Y")</f>
        <v/>
      </c>
      <c r="F103" s="20">
        <f>COUNTIF(F10:F93,"Y")</f>
        <v/>
      </c>
      <c r="G103" s="20">
        <f>COUNTIF(G10:G93,"Y")</f>
        <v/>
      </c>
      <c r="H103" s="20">
        <f>COUNTIF(H10:H93,"Y")</f>
        <v/>
      </c>
      <c r="I103" s="20">
        <f>COUNTIF(I10:I93,"Y")</f>
        <v/>
      </c>
      <c r="J103" s="20">
        <f>COUNTIF(J10:J93,"Y")</f>
        <v/>
      </c>
      <c r="K103" s="20">
        <f>COUNTIF(K10:K93,"Y")</f>
        <v/>
      </c>
    </row>
    <row r="104">
      <c r="B104" s="19" t="inlineStr">
        <is>
          <t>Recall %</t>
        </is>
      </c>
      <c r="C104" s="8" t="n"/>
      <c r="D104" s="8" t="n"/>
      <c r="E104" s="21">
        <f>IF(COUNTA(E10:E93)=0,"",COUNTIF(E10:E93,"Y")/COUNTA(C10:C93))</f>
        <v/>
      </c>
      <c r="F104" s="21">
        <f>IF(COUNTA(F10:F93)=0,"",COUNTIF(F10:F93,"Y")/COUNTA(C10:C93))</f>
        <v/>
      </c>
      <c r="G104" s="21">
        <f>IF(COUNTA(G10:G93)=0,"",COUNTIF(G10:G93,"Y")/COUNTA(C10:C93))</f>
        <v/>
      </c>
      <c r="H104" s="21">
        <f>IF(COUNTA(H10:H93)=0,"",COUNTIF(H10:H93,"Y")/COUNTA(C10:C93))</f>
        <v/>
      </c>
      <c r="I104" s="21">
        <f>IF(COUNTA(I10:I93)=0,"",COUNTIF(I10:I93,"Y")/COUNTA(C10:C93))</f>
        <v/>
      </c>
      <c r="J104" s="21">
        <f>IF(COUNTA(J10:J93)=0,"",COUNTIF(J10:J93,"Y")/COUNTA(C10:C93))</f>
        <v/>
      </c>
      <c r="K104" s="21">
        <f>IF(COUNTA(K10:K93)=0,"",COUNTIF(K10:K93,"Y")/COUNTA(C10:C93))</f>
        <v/>
      </c>
    </row>
    <row r="105">
      <c r="B105" s="3" t="inlineStr">
        <is>
          <t>Content only</t>
        </is>
      </c>
      <c r="C105" s="50" t="inlineStr">
        <is>
          <t>74</t>
        </is>
      </c>
      <c r="D105" s="36" t="inlineStr">
        <is>
          <t>Excludes the 4 Structure items so paper and Excel reps compare fairly</t>
        </is>
      </c>
      <c r="E105" s="51">
        <f>IF(COUNTA(E10:E93)=0,"",COUNTIF(E10:E89,"Y")/74)</f>
        <v/>
      </c>
      <c r="F105" s="51">
        <f>IF(COUNTA(F10:F93)=0,"",COUNTIF(F10:F89,"Y")/74)</f>
        <v/>
      </c>
      <c r="G105" s="51">
        <f>IF(COUNTA(G10:G93)=0,"",COUNTIF(G10:G89,"Y")/74)</f>
        <v/>
      </c>
      <c r="H105" s="51">
        <f>IF(COUNTA(H10:H93)=0,"",COUNTIF(H10:H89,"Y")/74)</f>
        <v/>
      </c>
      <c r="I105" s="51">
        <f>IF(COUNTA(I10:I93)=0,"",COUNTIF(I10:I89,"Y")/74)</f>
        <v/>
      </c>
      <c r="J105" s="51">
        <f>IF(COUNTA(J10:J93)=0,"",COUNTIF(J10:J89,"Y")/74)</f>
        <v/>
      </c>
      <c r="K105" s="51">
        <f>IF(COUNTA(K10:K93)=0,"",COUNTIF(K10:K89,"Y")/74)</f>
        <v/>
      </c>
    </row>
  </sheetData>
  <dataValidations count="1">
    <dataValidation sqref="F10:K9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8" customWidth="1" min="3" max="3"/>
    <col width="12" customWidth="1" min="4" max="4"/>
    <col width="50" customWidth="1" min="5" max="5"/>
    <col width="88" customWidth="1" min="6" max="6"/>
  </cols>
  <sheetData>
    <row r="2">
      <c r="B2" s="1" t="inlineStr">
        <is>
          <t>Findings Log</t>
        </is>
      </c>
    </row>
    <row r="3">
      <c r="B3" s="2" t="inlineStr">
        <is>
          <t>A finding stays open until a rebuild produces it correctly without prompting.</t>
        </is>
      </c>
    </row>
    <row r="4">
      <c r="B4" s="3" t="inlineStr">
        <is>
          <t>Rep 1: 57/78 Excel   Rep 2: 72/78 Excel   Rep 3: 71/78 Excel, 44 min   Rep 4: 70/78 on PAPER  (content only, out of 74: 57, 70, 69, 70)</t>
        </is>
      </c>
    </row>
    <row r="7">
      <c r="B7" s="6" t="inlineStr">
        <is>
          <t>#</t>
        </is>
      </c>
      <c r="C7" s="6" t="inlineStr">
        <is>
          <t>Since</t>
        </is>
      </c>
      <c r="D7" s="6" t="inlineStr">
        <is>
          <t>Status</t>
        </is>
      </c>
      <c r="E7" s="6" t="inlineStr">
        <is>
          <t>Finding</t>
        </is>
      </c>
      <c r="F7" s="6" t="inlineStr">
        <is>
          <t>Detail</t>
        </is>
      </c>
    </row>
    <row r="8" ht="52" customHeight="1">
      <c r="B8" s="17" t="inlineStr">
        <is>
          <t>1</t>
        </is>
      </c>
      <c r="C8" s="43" t="inlineStr">
        <is>
          <t>Rep 2</t>
        </is>
      </c>
      <c r="D8" s="44" t="inlineStr">
        <is>
          <t>FIXED</t>
        </is>
      </c>
      <c r="E8" s="17" t="inlineStr">
        <is>
          <t>Income taxes payable absent from the balance sheet</t>
        </is>
      </c>
      <c r="F8" s="30" t="inlineStr">
        <is>
          <t>Fixed in rep 3, BROKEN AGAIN in rep 4. Three failures in four reps. You have the days driver, the working capital line and the cash flow change - every appearance is as a FLOW. The balance itself never gets a home in current liabilities. That is a conceptual tell, not a memory lapse.</t>
        </is>
      </c>
    </row>
    <row r="9" ht="52" customHeight="1">
      <c r="B9" s="17" t="inlineStr">
        <is>
          <t>2</t>
        </is>
      </c>
      <c r="C9" s="43" t="inlineStr">
        <is>
          <t>Rep 2</t>
        </is>
      </c>
      <c r="D9" s="44" t="inlineStr">
        <is>
          <t>FIXED</t>
        </is>
      </c>
      <c r="E9" s="17" t="inlineStr">
        <is>
          <t>No effective tax rate assumption</t>
        </is>
      </c>
      <c r="F9" s="30" t="inlineStr">
        <is>
          <t>Present in reps 3 and 4. Closed.</t>
        </is>
      </c>
    </row>
    <row r="10" ht="52" customHeight="1">
      <c r="B10" s="17" t="inlineStr">
        <is>
          <t>3</t>
        </is>
      </c>
      <c r="C10" s="43" t="inlineStr">
        <is>
          <t>Rep 2</t>
        </is>
      </c>
      <c r="D10" s="44" t="inlineStr">
        <is>
          <t>FIXED</t>
        </is>
      </c>
      <c r="E10" s="17" t="inlineStr">
        <is>
          <t>Debt schedule too thin</t>
        </is>
      </c>
      <c r="F10" s="30" t="inlineStr">
        <is>
          <t>Now beginning / increase-(decrease) / ending, plus the rate and interest expense, and you noted that short-term debt takes the same structure. That note is the right instinct - the pattern generalises.</t>
        </is>
      </c>
    </row>
    <row r="11" ht="52" customHeight="1">
      <c r="B11" s="17" t="inlineStr">
        <is>
          <t>4</t>
        </is>
      </c>
      <c r="C11" s="43" t="inlineStr">
        <is>
          <t>Rep 3</t>
        </is>
      </c>
      <c r="D11" s="44" t="inlineStr">
        <is>
          <t>FIXED</t>
        </is>
      </c>
      <c r="E11" s="17" t="inlineStr">
        <is>
          <t>Revolver schedule missing</t>
        </is>
      </c>
      <c r="F11" s="30" t="inlineStr">
        <is>
          <t>Back as 'Debt Schedule 2' with minimum cash, rate, beginning, increase-(decrease), ending and interest expense. The sweep LOGIC (the MIN cap) is still not written down, but the structure is there.</t>
        </is>
      </c>
    </row>
    <row r="12" ht="52" customHeight="1">
      <c r="B12" s="17" t="inlineStr">
        <is>
          <t>5</t>
        </is>
      </c>
      <c r="C12" s="43" t="inlineStr">
        <is>
          <t>Rep 3</t>
        </is>
      </c>
      <c r="D12" s="44" t="inlineStr">
        <is>
          <t>FIXED</t>
        </is>
      </c>
      <c r="E12" s="17" t="inlineStr">
        <is>
          <t>Revolver rate and minimum cash assumptions dropped</t>
        </is>
      </c>
      <c r="F12" s="30" t="inlineStr">
        <is>
          <t>Both back in rep 4. Closed.</t>
        </is>
      </c>
    </row>
    <row r="13" ht="52" customHeight="1">
      <c r="B13" s="17" t="inlineStr">
        <is>
          <t>6</t>
        </is>
      </c>
      <c r="C13" s="43" t="inlineStr">
        <is>
          <t>Rep 2</t>
        </is>
      </c>
      <c r="D13" s="44" t="inlineStr">
        <is>
          <t>FIXED</t>
        </is>
      </c>
      <c r="E13" s="17" t="inlineStr">
        <is>
          <t>'Dividends' as a row inside shareholders' equity</t>
        </is>
      </c>
      <c r="F13" s="30" t="inlineStr">
        <is>
          <t>Gone. Equity now reads Common Equity, Retained Earnings, Total Equity. Open for two reps - closed.</t>
        </is>
      </c>
    </row>
    <row r="14" ht="52" customHeight="1">
      <c r="B14" s="17" t="inlineStr">
        <is>
          <t>7</t>
        </is>
      </c>
      <c r="C14" s="43" t="inlineStr">
        <is>
          <t>Rep 2</t>
        </is>
      </c>
      <c r="D14" s="44" t="inlineStr">
        <is>
          <t>FIXED</t>
        </is>
      </c>
      <c r="E14" s="17" t="inlineStr">
        <is>
          <t>No revolver line in cash flow financing</t>
        </is>
      </c>
      <c r="F14" s="30" t="inlineStr">
        <is>
          <t>'Change in Revolver' now sits in financing alongside long-term debt, short-term debt, equity and dividends. Financing is complete.</t>
        </is>
      </c>
    </row>
    <row r="15" ht="52" customHeight="1">
      <c r="B15" s="17" t="inlineStr">
        <is>
          <t>8</t>
        </is>
      </c>
      <c r="C15" s="43" t="inlineStr">
        <is>
          <t>Rep 4</t>
        </is>
      </c>
      <c r="D15" s="33" t="inlineStr">
        <is>
          <t>REGRESSED</t>
        </is>
      </c>
      <c r="E15" s="17" t="inlineStr">
        <is>
          <t>The entire PP&amp;E chain dropped out</t>
        </is>
      </c>
      <c r="F15" s="30" t="inlineStr">
        <is>
          <t>No asset schedule anywhere in the seven pages, and no depreciation-as-a-%-of-PP&amp;E assumption. Both were present in reps 2 and 3. Depreciation still appears on the income statement, so it is the DRIVER and the SCHEDULE that went, not the concept - a single coherent omission.</t>
        </is>
      </c>
    </row>
    <row r="16" ht="52" customHeight="1">
      <c r="B16" s="17" t="inlineStr">
        <is>
          <t>9</t>
        </is>
      </c>
      <c r="C16" s="43" t="inlineStr">
        <is>
          <t>Rep 4</t>
        </is>
      </c>
      <c r="D16" s="35" t="inlineStr">
        <is>
          <t>NOTE</t>
        </is>
      </c>
      <c r="E16" s="17" t="inlineStr">
        <is>
          <t>Equity schedule is better than before</t>
        </is>
      </c>
      <c r="F16" s="30" t="inlineStr">
        <is>
          <t>Split into two roll-forwards - common equity, and retained earnings with net income and (dividends). That is more correct than the single block in rep 3.</t>
        </is>
      </c>
    </row>
    <row r="17" ht="52" customHeight="1">
      <c r="B17" s="17" t="inlineStr">
        <is>
          <t>10</t>
        </is>
      </c>
      <c r="C17" s="43" t="inlineStr">
        <is>
          <t>Rep 4</t>
        </is>
      </c>
      <c r="D17" s="35" t="inlineStr">
        <is>
          <t>NIT</t>
        </is>
      </c>
      <c r="E17" s="17" t="inlineStr">
        <is>
          <t>Investing subtotal mislabelled</t>
        </is>
      </c>
      <c r="F17" s="30" t="inlineStr">
        <is>
          <t>Reads 'Net Change in Cash from Operating Activities' under the investing section. Copy error.</t>
        </is>
      </c>
    </row>
    <row r="18" ht="52" customHeight="1">
      <c r="B18" s="17" t="inlineStr">
        <is>
          <t>11</t>
        </is>
      </c>
      <c r="C18" s="43" t="inlineStr">
        <is>
          <t>Rep 2</t>
        </is>
      </c>
      <c r="D18" s="45" t="inlineStr">
        <is>
          <t>OPEN</t>
        </is>
      </c>
      <c r="E18" s="17" t="inlineStr">
        <is>
          <t>No colour convention</t>
        </is>
      </c>
      <c r="F18" s="30" t="inlineStr">
        <is>
          <t>Not scoreable on a paper rep. Still outstanding for the next Excel rep.</t>
        </is>
      </c>
    </row>
    <row r="19" ht="52" customHeight="1">
      <c r="B19" s="17" t="inlineStr">
        <is>
          <t>12</t>
        </is>
      </c>
      <c r="C19" s="43" t="inlineStr">
        <is>
          <t>Rep 2</t>
        </is>
      </c>
      <c r="D19" s="45" t="inlineStr">
        <is>
          <t>OPEN</t>
        </is>
      </c>
      <c r="E19" s="17" t="inlineStr">
        <is>
          <t>'Cash from Operations' header placement</t>
        </is>
      </c>
      <c r="F19" s="30" t="inlineStr">
        <is>
          <t>On paper the section headers now read correctly. Re-check on the next Excel rep.</t>
        </is>
      </c>
    </row>
    <row r="20" ht="52" customHeight="1">
      <c r="B20" s="17" t="inlineStr">
        <is>
          <t>13</t>
        </is>
      </c>
      <c r="C20" s="43" t="inlineStr">
        <is>
          <t>Rep 3</t>
        </is>
      </c>
      <c r="D20" s="45" t="inlineStr">
        <is>
          <t>OPEN</t>
        </is>
      </c>
      <c r="E20" s="17" t="inlineStr">
        <is>
          <t>Assumption VALUES still not attempted</t>
        </is>
      </c>
      <c r="F20" s="30" t="inlineStr">
        <is>
          <t>Four reps, no numbers. The skeleton is close to automatic now - the Day 2 layer is overdue.</t>
        </is>
      </c>
    </row>
    <row r="22">
      <c r="B22" s="52" t="inlineStr">
        <is>
          <t>THE PATTERN</t>
        </is>
      </c>
    </row>
    <row r="23">
      <c r="B23" s="31" t="inlineStr">
        <is>
          <t>Rep 2 to 3: fixed taxes payable and the tax rate - dropped the revolver block and two of its assumptions.</t>
        </is>
      </c>
    </row>
    <row r="24">
      <c r="B24" s="31" t="inlineStr">
        <is>
          <t>Rep 3 to 4: fixed the revolver, dividends-in-equity and financing - dropped the whole PP&amp;E chain, and taxes payable again.</t>
        </is>
      </c>
    </row>
    <row r="25">
      <c r="B25" s="31" t="inlineStr"/>
    </row>
    <row r="26">
      <c r="B26" s="23" t="inlineStr">
        <is>
          <t>You are not forgetting things at random. Each rep, the fix list takes the attention that was holding the rest.</t>
        </is>
      </c>
    </row>
    <row r="27">
      <c r="B27" s="23" t="inlineStr">
        <is>
          <t>The answer is not to try harder on recall. Add a CLOSING SWEEP: when the skeleton feels finished, spend three</t>
        </is>
      </c>
    </row>
    <row r="28">
      <c r="B28" s="23" t="inlineStr">
        <is>
          <t>minutes walking the four schedules and the balance sheet against a fixed order before calling it done.</t>
        </is>
      </c>
    </row>
    <row r="29">
      <c r="B29" s="23" t="inlineStr">
        <is>
          <t>Verification is a much easier task than recall, and it catches exactly this failure.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7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2">
      <c r="B2" s="1" t="inlineStr">
        <is>
          <t>Day 2 Build</t>
        </is>
      </c>
    </row>
    <row r="3">
      <c r="B3" s="2" t="inlineStr">
        <is>
          <t>Blank on purpose. Rebuild the skeleton from memory first, then add the period columns and your assumption values.</t>
        </is>
      </c>
    </row>
    <row r="4">
      <c r="B4" s="22" t="inlineStr">
        <is>
          <t>Do not open the Scorecard tab until the rep is finished.</t>
        </is>
      </c>
    </row>
    <row r="6">
      <c r="B6" s="23" t="inlineStr">
        <is>
          <t>COLOUR CONVENTION</t>
        </is>
      </c>
    </row>
    <row r="7">
      <c r="B7" s="24" t="inlineStr">
        <is>
          <t>Hardcoded input</t>
        </is>
      </c>
    </row>
    <row r="8">
      <c r="B8" s="25" t="inlineStr">
        <is>
          <t>Formula on this sheet</t>
        </is>
      </c>
    </row>
    <row r="9">
      <c r="B9" s="26" t="inlineStr">
        <is>
          <t>Link to another sheet</t>
        </is>
      </c>
    </row>
    <row r="10">
      <c r="B10" s="27" t="inlineStr">
        <is>
          <t>Assumption to revisit</t>
        </is>
      </c>
    </row>
    <row r="12">
      <c r="B12" s="23" t="inlineStr">
        <is>
          <t>Company</t>
        </is>
      </c>
      <c r="C12" s="24" t="inlineStr">
        <is>
          <t>&lt;pick one simple business and stay on it for two weeks&gt;</t>
        </is>
      </c>
    </row>
    <row r="13">
      <c r="B13" s="23" t="inlineStr">
        <is>
          <t>Units</t>
        </is>
      </c>
      <c r="C13" s="24" t="inlineStr">
        <is>
          <t>$mm</t>
        </is>
      </c>
    </row>
    <row r="16">
      <c r="B16" s="23" t="inlineStr">
        <is>
          <t>Period</t>
        </is>
      </c>
      <c r="C16" s="4" t="inlineStr">
        <is>
          <t>FY2023A</t>
        </is>
      </c>
      <c r="D16" s="4" t="inlineStr">
        <is>
          <t>FY2024A</t>
        </is>
      </c>
      <c r="E16" s="4" t="inlineStr">
        <is>
          <t>FY2025A</t>
        </is>
      </c>
      <c r="F16" s="4" t="inlineStr">
        <is>
          <t>FY2026E</t>
        </is>
      </c>
      <c r="G16" s="4" t="inlineStr">
        <is>
          <t>FY2027E</t>
        </is>
      </c>
      <c r="H16" s="4" t="inlineStr">
        <is>
          <t>FY2028E</t>
        </is>
      </c>
    </row>
    <row r="17">
      <c r="C17" s="28" t="inlineStr">
        <is>
          <t>Actual</t>
        </is>
      </c>
      <c r="D17" s="28" t="inlineStr">
        <is>
          <t>Actual</t>
        </is>
      </c>
      <c r="E17" s="28" t="inlineStr">
        <is>
          <t>Actual</t>
        </is>
      </c>
      <c r="F17" s="28" t="inlineStr">
        <is>
          <t>Projected</t>
        </is>
      </c>
      <c r="G17" s="28" t="inlineStr">
        <is>
          <t>Projected</t>
        </is>
      </c>
      <c r="H17" s="28" t="inlineStr">
        <is>
          <t>Projected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9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9" customWidth="1" min="3" max="3"/>
    <col width="34" customWidth="1" min="4" max="4"/>
    <col width="86" customWidth="1" min="5" max="5"/>
  </cols>
  <sheetData>
    <row r="2">
      <c r="B2" s="1" t="inlineStr">
        <is>
          <t>Fourteen-Day Ladder</t>
        </is>
      </c>
    </row>
    <row r="3">
      <c r="B3" s="2" t="inlineStr">
        <is>
          <t>One rule: every day you rebuild everything from the previous days from a blank sheet FIRST, then add that day's new layer.</t>
        </is>
      </c>
    </row>
    <row r="4">
      <c r="B4" s="2" t="inlineStr">
        <is>
          <t>The rebuild is the rep. The new layer is the lesson. Skipping the rebuild turns this back into passive tutorial-following.</t>
        </is>
      </c>
    </row>
    <row r="7">
      <c r="B7" s="6" t="inlineStr">
        <is>
          <t>Day</t>
        </is>
      </c>
      <c r="C7" s="6" t="inlineStr">
        <is>
          <t>Status</t>
        </is>
      </c>
      <c r="D7" s="6" t="inlineStr">
        <is>
          <t>Layer</t>
        </is>
      </c>
      <c r="E7" s="6" t="inlineStr">
        <is>
          <t>What you actually do</t>
        </is>
      </c>
    </row>
    <row r="8" ht="30" customHeight="1">
      <c r="B8" s="17" t="inlineStr">
        <is>
          <t>Day 1</t>
        </is>
      </c>
      <c r="C8" s="29" t="inlineStr">
        <is>
          <t>DONE</t>
        </is>
      </c>
      <c r="D8" s="17" t="inlineStr">
        <is>
          <t>Blind skeleton</t>
        </is>
      </c>
      <c r="E8" s="30" t="inlineStr">
        <is>
          <t>Labels only, no numbers. Scored 73% on the Scorecard tab.</t>
        </is>
      </c>
    </row>
    <row r="9" ht="44" customHeight="1">
      <c r="B9" s="17" t="inlineStr">
        <is>
          <t>Day 2</t>
        </is>
      </c>
      <c r="C9" s="46" t="inlineStr">
        <is>
          <t>PARTIAL</t>
        </is>
      </c>
      <c r="D9" s="17" t="inlineStr">
        <is>
          <t>Periods + assumptions</t>
        </is>
      </c>
      <c r="E9" s="30" t="inlineStr">
        <is>
          <t>Four skeleton reps done. Rep 4 on paper: 70/74 on content, tied with the best. Seven findings closed. PP&amp;E chain and income taxes payable are the live gaps. Assumption VALUES still outstanding.</t>
        </is>
      </c>
    </row>
    <row r="10" ht="30" customHeight="1">
      <c r="B10" s="17" t="inlineStr">
        <is>
          <t>Day 3</t>
        </is>
      </c>
      <c r="C10" s="29" t="inlineStr"/>
      <c r="D10" s="17" t="inlineStr">
        <is>
          <t>Income statement</t>
        </is>
      </c>
      <c r="E10" s="30" t="inlineStr">
        <is>
          <t>Rebuild, then drive revenue through to net income with formulas. Every line references an assumption cell - no number typed inside a formula.</t>
        </is>
      </c>
    </row>
    <row r="11" ht="30" customHeight="1">
      <c r="B11" s="17" t="inlineStr">
        <is>
          <t>Day 4</t>
        </is>
      </c>
      <c r="C11" s="29" t="inlineStr"/>
      <c r="D11" s="17" t="inlineStr">
        <is>
          <t>PP&amp;E + working capital schedules</t>
        </is>
      </c>
      <c r="E11" s="30" t="inlineStr">
        <is>
          <t>Rebuild, then both schedules as proper roll-forwards. This is the day the word 'schedule' should stop feeling abstract.</t>
        </is>
      </c>
    </row>
    <row r="12" ht="30" customHeight="1">
      <c r="B12" s="17" t="inlineStr">
        <is>
          <t>Day 5</t>
        </is>
      </c>
      <c r="C12" s="29" t="inlineStr"/>
      <c r="D12" s="17" t="inlineStr">
        <is>
          <t>Balance sheet + the check row</t>
        </is>
      </c>
      <c r="E12" s="30" t="inlineStr">
        <is>
          <t>Rebuild, then the balance sheet with the check row at the bottom. Expect it NOT to balance - you have no cash flow statement yet. That is correct.</t>
        </is>
      </c>
    </row>
    <row r="13" ht="30" customHeight="1">
      <c r="B13" s="17" t="inlineStr">
        <is>
          <t>Day 6</t>
        </is>
      </c>
      <c r="C13" s="29" t="inlineStr"/>
      <c r="D13" s="17" t="inlineStr">
        <is>
          <t>Cash flow statement - first close</t>
        </is>
      </c>
      <c r="E13" s="30" t="inlineStr">
        <is>
          <t>Rebuild, then the CFS. Chase the check row to zero. This is the day the model becomes a model.</t>
        </is>
      </c>
    </row>
    <row r="14" ht="30" customHeight="1">
      <c r="B14" s="17" t="inlineStr">
        <is>
          <t>Day 7</t>
        </is>
      </c>
      <c r="C14" s="29" t="inlineStr"/>
      <c r="D14" s="17" t="inlineStr">
        <is>
          <t>Full rebuild, timed</t>
        </is>
      </c>
      <c r="E14" s="30" t="inlineStr">
        <is>
          <t>Everything from blank, on the clock. Write the time down. This is your baseline.</t>
        </is>
      </c>
    </row>
    <row r="15" ht="30" customHeight="1">
      <c r="B15" s="17" t="inlineStr">
        <is>
          <t>Day 8</t>
        </is>
      </c>
      <c r="C15" s="29" t="inlineStr"/>
      <c r="D15" s="17" t="inlineStr">
        <is>
          <t>Debt schedule</t>
        </is>
      </c>
      <c r="E15" s="30" t="inlineStr">
        <is>
          <t>Rebuild, then a real debt schedule. Interest on the OPENING balance for now - no circularity yet.</t>
        </is>
      </c>
    </row>
    <row r="16" ht="30" customHeight="1">
      <c r="B16" s="17" t="inlineStr">
        <is>
          <t>Day 9</t>
        </is>
      </c>
      <c r="C16" s="29" t="inlineStr"/>
      <c r="D16" s="17" t="inlineStr">
        <is>
          <t>Full rebuild with debt</t>
        </is>
      </c>
      <c r="E16" s="30" t="inlineStr">
        <is>
          <t>No new layer. Just do the whole thing again and beat Day 7's time.</t>
        </is>
      </c>
    </row>
    <row r="17" ht="30" customHeight="1">
      <c r="B17" s="17" t="inlineStr">
        <is>
          <t>Day 10</t>
        </is>
      </c>
      <c r="C17" s="29" t="inlineStr"/>
      <c r="D17" s="17" t="inlineStr">
        <is>
          <t>Equity schedule + dividends</t>
        </is>
      </c>
      <c r="E17" s="30" t="inlineStr">
        <is>
          <t>Rebuild, then the equity roll-forward. Make sure dividends leave through financing - that was a Day 1 miss.</t>
        </is>
      </c>
    </row>
    <row r="18" ht="30" customHeight="1">
      <c r="B18" s="17" t="inlineStr">
        <is>
          <t>Day 11</t>
        </is>
      </c>
      <c r="C18" s="29" t="inlineStr"/>
      <c r="D18" s="17" t="inlineStr">
        <is>
          <t>Revolver + MIN/MAX sweep</t>
        </is>
      </c>
      <c r="E18" s="30" t="inlineStr">
        <is>
          <t>Rebuild, then the minimum cash balance and the sweep. Drill 3 on the drills page until the logic is automatic BEFORE you build it.</t>
        </is>
      </c>
    </row>
    <row r="19" ht="30" customHeight="1">
      <c r="B19" s="17" t="inlineStr">
        <is>
          <t>Day 12</t>
        </is>
      </c>
      <c r="C19" s="29" t="inlineStr"/>
      <c r="D19" s="17" t="inlineStr">
        <is>
          <t>Switch to average-balance interest</t>
        </is>
      </c>
      <c r="E19" s="30" t="inlineStr">
        <is>
          <t>Rebuild, then flip interest to the average method and turn on iterative calculation. Add a circuit-breaker switch.</t>
        </is>
      </c>
    </row>
    <row r="20" ht="30" customHeight="1">
      <c r="B20" s="17" t="inlineStr">
        <is>
          <t>Day 13</t>
        </is>
      </c>
      <c r="C20" s="29" t="inlineStr"/>
      <c r="D20" s="17" t="inlineStr">
        <is>
          <t>Full rebuild, timed</t>
        </is>
      </c>
      <c r="E20" s="30" t="inlineStr">
        <is>
          <t>Everything, from blank, on the clock. Compare against Day 7.</t>
        </is>
      </c>
    </row>
    <row r="21" ht="30" customHeight="1">
      <c r="B21" s="17" t="inlineStr">
        <is>
          <t>Day 14</t>
        </is>
      </c>
      <c r="C21" s="29" t="inlineStr"/>
      <c r="D21" s="17" t="inlineStr">
        <is>
          <t>New company</t>
        </is>
      </c>
      <c r="E21" s="30" t="inlineStr">
        <is>
          <t>Same model, different business. This is where the skill stops being one memorised spreadsheet and starts being a skill.</t>
        </is>
      </c>
    </row>
    <row r="22"/>
    <row r="23">
      <c r="B23" s="23" t="inlineStr">
        <is>
          <t>Every day, before the build:</t>
        </is>
      </c>
    </row>
    <row r="24">
      <c r="B24" s="31" t="inlineStr">
        <is>
          <t>5 minutes of drills, then the blank skeleton from memory.</t>
        </is>
      </c>
    </row>
    <row r="25">
      <c r="B25" s="23" t="inlineStr">
        <is>
          <t>Every day, after the build:</t>
        </is>
      </c>
    </row>
    <row r="26">
      <c r="B26" s="31" t="inlineStr">
        <is>
          <t>One line in the rep log - what broke, and how many minutes it cost.</t>
        </is>
      </c>
    </row>
    <row r="27"/>
    <row r="28"/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2026-08-30T20:48:15Z</dcterms:created>
  <dcterms:modified xsi:type="dcterms:W3CDTF">2026-08-31T19:51:55Z</dcterms:modified>
</cp:coreProperties>
</file>