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EC2C4BD7-EA73-4593-9876-67408B58A8D9}" xr6:coauthVersionLast="47" xr6:coauthVersionMax="47" xr10:uidLastSave="{00000000-0000-0000-0000-000000000000}"/>
  <bookViews>
    <workbookView xWindow="-120" yWindow="-120" windowWidth="29040" windowHeight="15840" xr2:uid="{72BDA049-DC54-47DF-B1D6-F8A7F79D31B3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6" i="1" l="1"/>
  <c r="F246" i="1" s="1"/>
  <c r="G246" i="1" s="1"/>
  <c r="H246" i="1" s="1"/>
  <c r="I246" i="1" s="1"/>
  <c r="J246" i="1" s="1"/>
  <c r="K246" i="1" s="1"/>
  <c r="L246" i="1" s="1"/>
  <c r="E232" i="1"/>
  <c r="F232" i="1" s="1"/>
  <c r="G232" i="1" s="1"/>
  <c r="H232" i="1" s="1"/>
  <c r="I232" i="1" s="1"/>
  <c r="J232" i="1" s="1"/>
  <c r="K232" i="1" s="1"/>
  <c r="L232" i="1" s="1"/>
  <c r="E216" i="1"/>
  <c r="F216" i="1" s="1"/>
  <c r="G216" i="1" s="1"/>
  <c r="H216" i="1" s="1"/>
  <c r="I216" i="1" s="1"/>
  <c r="J216" i="1" s="1"/>
  <c r="K216" i="1" s="1"/>
  <c r="L216" i="1" s="1"/>
  <c r="E201" i="1"/>
  <c r="F201" i="1" s="1"/>
  <c r="G201" i="1" s="1"/>
  <c r="H201" i="1" s="1"/>
  <c r="I201" i="1" s="1"/>
  <c r="J201" i="1" s="1"/>
  <c r="K201" i="1" s="1"/>
  <c r="L201" i="1" s="1"/>
  <c r="E174" i="1"/>
  <c r="F174" i="1" s="1"/>
  <c r="G174" i="1" s="1"/>
  <c r="H174" i="1" s="1"/>
  <c r="I174" i="1" s="1"/>
  <c r="J174" i="1" s="1"/>
  <c r="K174" i="1" s="1"/>
  <c r="L174" i="1" s="1"/>
  <c r="E150" i="1"/>
  <c r="F150" i="1" s="1"/>
  <c r="G150" i="1" s="1"/>
  <c r="H150" i="1" s="1"/>
  <c r="I150" i="1" s="1"/>
  <c r="J150" i="1" s="1"/>
  <c r="K150" i="1" s="1"/>
  <c r="L150" i="1" s="1"/>
  <c r="E129" i="1"/>
  <c r="F129" i="1" s="1"/>
  <c r="G129" i="1" s="1"/>
  <c r="H129" i="1" s="1"/>
  <c r="I129" i="1" s="1"/>
  <c r="J129" i="1" s="1"/>
  <c r="K129" i="1" s="1"/>
  <c r="L129" i="1" s="1"/>
  <c r="E99" i="1"/>
  <c r="F99" i="1" s="1"/>
  <c r="G99" i="1" s="1"/>
  <c r="H99" i="1" s="1"/>
  <c r="I99" i="1" s="1"/>
  <c r="J99" i="1" s="1"/>
  <c r="K99" i="1" s="1"/>
  <c r="L99" i="1" s="1"/>
  <c r="E58" i="1"/>
  <c r="F58" i="1" s="1"/>
  <c r="G58" i="1" s="1"/>
  <c r="H58" i="1" s="1"/>
  <c r="I58" i="1" s="1"/>
  <c r="J58" i="1" s="1"/>
  <c r="K58" i="1" s="1"/>
  <c r="L58" i="1" s="1"/>
  <c r="E33" i="1"/>
  <c r="F33" i="1" s="1"/>
  <c r="G33" i="1" s="1"/>
  <c r="H33" i="1" s="1"/>
  <c r="I33" i="1" s="1"/>
  <c r="J33" i="1" s="1"/>
  <c r="K33" i="1" s="1"/>
  <c r="L33" i="1" s="1"/>
  <c r="L189" i="1"/>
  <c r="K189" i="1"/>
  <c r="J189" i="1"/>
  <c r="I189" i="1"/>
  <c r="G189" i="1"/>
  <c r="G195" i="1" s="1"/>
  <c r="F189" i="1"/>
  <c r="E189" i="1"/>
  <c r="L188" i="1"/>
  <c r="K188" i="1"/>
  <c r="J188" i="1"/>
  <c r="I188" i="1"/>
  <c r="G188" i="1"/>
  <c r="F188" i="1"/>
  <c r="E188" i="1"/>
  <c r="F183" i="1"/>
  <c r="G183" i="1"/>
  <c r="I183" i="1"/>
  <c r="J183" i="1"/>
  <c r="K183" i="1"/>
  <c r="L183" i="1"/>
  <c r="L22" i="1" s="1"/>
  <c r="F184" i="1"/>
  <c r="F186" i="1" s="1"/>
  <c r="G184" i="1"/>
  <c r="G186" i="1" s="1"/>
  <c r="H184" i="1"/>
  <c r="I184" i="1"/>
  <c r="J184" i="1"/>
  <c r="J186" i="1" s="1"/>
  <c r="K184" i="1"/>
  <c r="K186" i="1" s="1"/>
  <c r="L184" i="1"/>
  <c r="L186" i="1" s="1"/>
  <c r="F185" i="1"/>
  <c r="G185" i="1"/>
  <c r="I185" i="1"/>
  <c r="J185" i="1"/>
  <c r="K185" i="1"/>
  <c r="L185" i="1"/>
  <c r="I186" i="1"/>
  <c r="E176" i="1"/>
  <c r="E185" i="1" s="1"/>
  <c r="E184" i="1"/>
  <c r="L176" i="1"/>
  <c r="K176" i="1"/>
  <c r="J176" i="1"/>
  <c r="I176" i="1"/>
  <c r="H176" i="1"/>
  <c r="G176" i="1"/>
  <c r="F176" i="1"/>
  <c r="L180" i="1"/>
  <c r="K180" i="1"/>
  <c r="J180" i="1"/>
  <c r="I180" i="1"/>
  <c r="H180" i="1"/>
  <c r="G180" i="1"/>
  <c r="F180" i="1"/>
  <c r="E180" i="1"/>
  <c r="B180" i="1"/>
  <c r="I22" i="1"/>
  <c r="J22" i="1"/>
  <c r="K22" i="1"/>
  <c r="G253" i="1"/>
  <c r="G251" i="1" s="1"/>
  <c r="F253" i="1"/>
  <c r="F251" i="1" s="1"/>
  <c r="E253" i="1"/>
  <c r="E251" i="1" s="1"/>
  <c r="H253" i="1"/>
  <c r="H45" i="1" s="1"/>
  <c r="I253" i="1"/>
  <c r="I45" i="1" s="1"/>
  <c r="J253" i="1"/>
  <c r="J45" i="1" s="1"/>
  <c r="K253" i="1"/>
  <c r="K45" i="1" s="1"/>
  <c r="L253" i="1"/>
  <c r="L45" i="1" s="1"/>
  <c r="F240" i="1"/>
  <c r="G240" i="1"/>
  <c r="E240" i="1"/>
  <c r="E241" i="1"/>
  <c r="F238" i="1" s="1"/>
  <c r="H118" i="1"/>
  <c r="I118" i="1"/>
  <c r="J118" i="1"/>
  <c r="K118" i="1"/>
  <c r="L118" i="1"/>
  <c r="F227" i="1"/>
  <c r="G227" i="1"/>
  <c r="E227" i="1"/>
  <c r="F225" i="1"/>
  <c r="G225" i="1"/>
  <c r="E225" i="1"/>
  <c r="L223" i="1"/>
  <c r="K223" i="1"/>
  <c r="J223" i="1"/>
  <c r="I223" i="1"/>
  <c r="H223" i="1"/>
  <c r="L221" i="1"/>
  <c r="K221" i="1"/>
  <c r="J221" i="1"/>
  <c r="I221" i="1"/>
  <c r="H221" i="1"/>
  <c r="L219" i="1"/>
  <c r="K219" i="1"/>
  <c r="J219" i="1"/>
  <c r="I219" i="1"/>
  <c r="H219" i="1"/>
  <c r="I117" i="1"/>
  <c r="J117" i="1"/>
  <c r="K117" i="1"/>
  <c r="L117" i="1"/>
  <c r="H117" i="1"/>
  <c r="I116" i="1"/>
  <c r="J116" i="1"/>
  <c r="K116" i="1"/>
  <c r="L116" i="1"/>
  <c r="H116" i="1"/>
  <c r="G210" i="1"/>
  <c r="G209" i="1"/>
  <c r="F210" i="1"/>
  <c r="F209" i="1"/>
  <c r="E209" i="1"/>
  <c r="E210" i="1"/>
  <c r="L206" i="1"/>
  <c r="K206" i="1"/>
  <c r="J206" i="1"/>
  <c r="I206" i="1"/>
  <c r="H206" i="1"/>
  <c r="L205" i="1"/>
  <c r="K205" i="1"/>
  <c r="J205" i="1"/>
  <c r="I205" i="1"/>
  <c r="H205" i="1"/>
  <c r="G204" i="1"/>
  <c r="F204" i="1"/>
  <c r="E204" i="1"/>
  <c r="E211" i="1" s="1"/>
  <c r="F208" i="1" s="1"/>
  <c r="F211" i="1" s="1"/>
  <c r="G208" i="1" s="1"/>
  <c r="G203" i="1"/>
  <c r="G220" i="1" s="1"/>
  <c r="F203" i="1"/>
  <c r="F220" i="1" s="1"/>
  <c r="E203" i="1"/>
  <c r="E220" i="1" s="1"/>
  <c r="F194" i="1"/>
  <c r="G194" i="1"/>
  <c r="I194" i="1"/>
  <c r="J194" i="1"/>
  <c r="K194" i="1"/>
  <c r="L194" i="1"/>
  <c r="F195" i="1"/>
  <c r="I195" i="1"/>
  <c r="J195" i="1"/>
  <c r="K195" i="1"/>
  <c r="L195" i="1"/>
  <c r="E195" i="1"/>
  <c r="E194" i="1"/>
  <c r="L181" i="1"/>
  <c r="K181" i="1"/>
  <c r="J181" i="1"/>
  <c r="I181" i="1"/>
  <c r="H181" i="1"/>
  <c r="G181" i="1"/>
  <c r="F181" i="1"/>
  <c r="E181" i="1"/>
  <c r="L179" i="1"/>
  <c r="K179" i="1"/>
  <c r="J179" i="1"/>
  <c r="I179" i="1"/>
  <c r="H179" i="1"/>
  <c r="G179" i="1"/>
  <c r="F179" i="1"/>
  <c r="E179" i="1"/>
  <c r="L178" i="1"/>
  <c r="K178" i="1"/>
  <c r="J178" i="1"/>
  <c r="I178" i="1"/>
  <c r="H178" i="1"/>
  <c r="G178" i="1"/>
  <c r="F178" i="1"/>
  <c r="E178" i="1"/>
  <c r="E177" i="1"/>
  <c r="E183" i="1" s="1"/>
  <c r="L163" i="1"/>
  <c r="K163" i="1"/>
  <c r="J163" i="1"/>
  <c r="I163" i="1"/>
  <c r="H163" i="1"/>
  <c r="G163" i="1"/>
  <c r="F163" i="1"/>
  <c r="E163" i="1"/>
  <c r="L153" i="1"/>
  <c r="K153" i="1"/>
  <c r="J153" i="1"/>
  <c r="I153" i="1"/>
  <c r="H153" i="1"/>
  <c r="G153" i="1"/>
  <c r="F153" i="1"/>
  <c r="E153" i="1"/>
  <c r="F134" i="1"/>
  <c r="G134" i="1"/>
  <c r="F133" i="1"/>
  <c r="G133" i="1"/>
  <c r="F132" i="1"/>
  <c r="G132" i="1"/>
  <c r="F131" i="1"/>
  <c r="G131" i="1"/>
  <c r="E145" i="1"/>
  <c r="E144" i="1"/>
  <c r="E143" i="1"/>
  <c r="E142" i="1"/>
  <c r="L139" i="1"/>
  <c r="K139" i="1"/>
  <c r="J139" i="1"/>
  <c r="I139" i="1"/>
  <c r="H139" i="1"/>
  <c r="L138" i="1"/>
  <c r="K138" i="1"/>
  <c r="J138" i="1"/>
  <c r="I138" i="1"/>
  <c r="H138" i="1"/>
  <c r="G138" i="1"/>
  <c r="F138" i="1"/>
  <c r="E138" i="1"/>
  <c r="L137" i="1"/>
  <c r="K137" i="1"/>
  <c r="J137" i="1"/>
  <c r="I137" i="1"/>
  <c r="H137" i="1"/>
  <c r="G137" i="1"/>
  <c r="F137" i="1"/>
  <c r="E137" i="1"/>
  <c r="L136" i="1"/>
  <c r="K136" i="1"/>
  <c r="J136" i="1"/>
  <c r="I136" i="1"/>
  <c r="H136" i="1"/>
  <c r="G136" i="1"/>
  <c r="F136" i="1"/>
  <c r="E136" i="1"/>
  <c r="E134" i="1"/>
  <c r="E133" i="1"/>
  <c r="E132" i="1"/>
  <c r="E131" i="1"/>
  <c r="F113" i="1"/>
  <c r="G113" i="1"/>
  <c r="E113" i="1"/>
  <c r="G108" i="1"/>
  <c r="G145" i="1" s="1"/>
  <c r="G107" i="1"/>
  <c r="G144" i="1" s="1"/>
  <c r="G106" i="1"/>
  <c r="G143" i="1" s="1"/>
  <c r="G105" i="1"/>
  <c r="G142" i="1" s="1"/>
  <c r="F17" i="1"/>
  <c r="F139" i="1" s="1"/>
  <c r="G17" i="1"/>
  <c r="G139" i="1" s="1"/>
  <c r="E17" i="1"/>
  <c r="E139" i="1" s="1"/>
  <c r="F90" i="1"/>
  <c r="G90" i="1"/>
  <c r="E90" i="1"/>
  <c r="F83" i="1"/>
  <c r="G83" i="1"/>
  <c r="E83" i="1"/>
  <c r="F79" i="1"/>
  <c r="G79" i="1"/>
  <c r="E79" i="1"/>
  <c r="F70" i="1"/>
  <c r="G70" i="1"/>
  <c r="G72" i="1" s="1"/>
  <c r="E70" i="1"/>
  <c r="F64" i="1"/>
  <c r="G64" i="1"/>
  <c r="E64" i="1"/>
  <c r="H39" i="1"/>
  <c r="H8" i="1" s="1"/>
  <c r="H35" i="1"/>
  <c r="I35" i="1" s="1"/>
  <c r="I62" i="1" s="1"/>
  <c r="G28" i="1"/>
  <c r="G219" i="1" s="1"/>
  <c r="F28" i="1"/>
  <c r="F219" i="1" s="1"/>
  <c r="G27" i="1"/>
  <c r="G234" i="1" s="1"/>
  <c r="F236" i="1" s="1"/>
  <c r="H27" i="1"/>
  <c r="H234" i="1" s="1"/>
  <c r="F27" i="1"/>
  <c r="F234" i="1" s="1"/>
  <c r="E236" i="1" s="1"/>
  <c r="E27" i="1"/>
  <c r="E234" i="1" s="1"/>
  <c r="G22" i="1"/>
  <c r="G177" i="1" s="1"/>
  <c r="F22" i="1"/>
  <c r="F177" i="1" s="1"/>
  <c r="G20" i="1"/>
  <c r="G162" i="1" s="1"/>
  <c r="G165" i="1" s="1"/>
  <c r="F167" i="1" s="1"/>
  <c r="H20" i="1"/>
  <c r="H162" i="1" s="1"/>
  <c r="H165" i="1" s="1"/>
  <c r="H167" i="1" s="1"/>
  <c r="F20" i="1"/>
  <c r="F162" i="1" s="1"/>
  <c r="E167" i="1" s="1"/>
  <c r="E20" i="1"/>
  <c r="E162" i="1" s="1"/>
  <c r="E165" i="1" s="1"/>
  <c r="G18" i="1"/>
  <c r="H18" i="1"/>
  <c r="F18" i="1"/>
  <c r="F152" i="1" s="1"/>
  <c r="F155" i="1" s="1"/>
  <c r="E18" i="1"/>
  <c r="E152" i="1" s="1"/>
  <c r="E155" i="1" s="1"/>
  <c r="F13" i="1"/>
  <c r="F205" i="1" s="1"/>
  <c r="G13" i="1"/>
  <c r="G205" i="1" s="1"/>
  <c r="E13" i="1"/>
  <c r="E205" i="1" s="1"/>
  <c r="F10" i="1"/>
  <c r="F206" i="1" s="1"/>
  <c r="G10" i="1"/>
  <c r="G206" i="1" s="1"/>
  <c r="E10" i="1"/>
  <c r="E206" i="1" s="1"/>
  <c r="F9" i="1"/>
  <c r="F223" i="1" s="1"/>
  <c r="G9" i="1"/>
  <c r="G223" i="1" s="1"/>
  <c r="E9" i="1"/>
  <c r="E223" i="1" s="1"/>
  <c r="F8" i="1"/>
  <c r="F222" i="1" s="1"/>
  <c r="F226" i="1" s="1"/>
  <c r="G8" i="1"/>
  <c r="G222" i="1" s="1"/>
  <c r="G226" i="1" s="1"/>
  <c r="E8" i="1"/>
  <c r="E222" i="1" s="1"/>
  <c r="E226" i="1" s="1"/>
  <c r="F37" i="1"/>
  <c r="F42" i="1" s="1"/>
  <c r="F46" i="1" s="1"/>
  <c r="G37" i="1"/>
  <c r="G42" i="1" s="1"/>
  <c r="G46" i="1" s="1"/>
  <c r="E37" i="1"/>
  <c r="E7" i="1" s="1"/>
  <c r="E221" i="1" s="1"/>
  <c r="G6" i="1"/>
  <c r="F6" i="1"/>
  <c r="F119" i="1"/>
  <c r="G119" i="1"/>
  <c r="E119" i="1"/>
  <c r="G117" i="1"/>
  <c r="F117" i="1"/>
  <c r="G116" i="1"/>
  <c r="F116" i="1"/>
  <c r="F108" i="1"/>
  <c r="F145" i="1" s="1"/>
  <c r="F107" i="1"/>
  <c r="F144" i="1" s="1"/>
  <c r="F106" i="1"/>
  <c r="F143" i="1" s="1"/>
  <c r="F105" i="1"/>
  <c r="F142" i="1" s="1"/>
  <c r="F102" i="1"/>
  <c r="G102" i="1"/>
  <c r="E102" i="1"/>
  <c r="B235" i="1"/>
  <c r="B223" i="1"/>
  <c r="B222" i="1"/>
  <c r="B221" i="1"/>
  <c r="B206" i="1"/>
  <c r="B205" i="1"/>
  <c r="B204" i="1"/>
  <c r="B194" i="1"/>
  <c r="B193" i="1"/>
  <c r="B192" i="1"/>
  <c r="B179" i="1"/>
  <c r="B189" i="1" s="1"/>
  <c r="B195" i="1" s="1"/>
  <c r="B178" i="1"/>
  <c r="B177" i="1"/>
  <c r="B156" i="1"/>
  <c r="B153" i="1"/>
  <c r="B152" i="1"/>
  <c r="B139" i="1"/>
  <c r="B138" i="1"/>
  <c r="B137" i="1"/>
  <c r="B136" i="1"/>
  <c r="B134" i="1"/>
  <c r="B145" i="1" s="1"/>
  <c r="B133" i="1"/>
  <c r="B144" i="1" s="1"/>
  <c r="B132" i="1"/>
  <c r="B143" i="1" s="1"/>
  <c r="B131" i="1"/>
  <c r="B142" i="1" s="1"/>
  <c r="E4" i="1"/>
  <c r="F4" i="1" s="1"/>
  <c r="G4" i="1" s="1"/>
  <c r="H4" i="1" s="1"/>
  <c r="I4" i="1" s="1"/>
  <c r="J4" i="1" s="1"/>
  <c r="K4" i="1" s="1"/>
  <c r="L4" i="1" s="1"/>
  <c r="E186" i="1" l="1"/>
  <c r="H226" i="1"/>
  <c r="E208" i="1"/>
  <c r="G211" i="1"/>
  <c r="H208" i="1" s="1"/>
  <c r="H11" i="1" s="1"/>
  <c r="F85" i="1"/>
  <c r="F92" i="1" s="1"/>
  <c r="I226" i="1"/>
  <c r="H222" i="1"/>
  <c r="E235" i="1"/>
  <c r="E118" i="1" s="1"/>
  <c r="F235" i="1"/>
  <c r="F118" i="1" s="1"/>
  <c r="H236" i="1"/>
  <c r="G236" i="1"/>
  <c r="G235" i="1" s="1"/>
  <c r="G118" i="1" s="1"/>
  <c r="G120" i="1" s="1"/>
  <c r="F120" i="1"/>
  <c r="E120" i="1"/>
  <c r="E85" i="1"/>
  <c r="E92" i="1" s="1"/>
  <c r="G85" i="1"/>
  <c r="G92" i="1" s="1"/>
  <c r="H203" i="1"/>
  <c r="I203" i="1"/>
  <c r="I131" i="1"/>
  <c r="F7" i="1"/>
  <c r="F221" i="1" s="1"/>
  <c r="H169" i="1"/>
  <c r="H193" i="1" s="1"/>
  <c r="H76" i="1"/>
  <c r="I165" i="1"/>
  <c r="I20" i="1" s="1"/>
  <c r="E157" i="1"/>
  <c r="E156" i="1" s="1"/>
  <c r="F157" i="1"/>
  <c r="G155" i="1" s="1"/>
  <c r="E166" i="1"/>
  <c r="F165" i="1"/>
  <c r="F166" i="1" s="1"/>
  <c r="E169" i="1"/>
  <c r="E193" i="1" s="1"/>
  <c r="H131" i="1"/>
  <c r="G167" i="1"/>
  <c r="H62" i="1"/>
  <c r="F72" i="1"/>
  <c r="G94" i="1"/>
  <c r="E72" i="1"/>
  <c r="G7" i="1"/>
  <c r="G221" i="1" s="1"/>
  <c r="G49" i="1"/>
  <c r="G239" i="1" s="1"/>
  <c r="G12" i="1"/>
  <c r="I40" i="1"/>
  <c r="I36" i="1"/>
  <c r="J35" i="1"/>
  <c r="F49" i="1"/>
  <c r="F239" i="1" s="1"/>
  <c r="F241" i="1" s="1"/>
  <c r="G238" i="1" s="1"/>
  <c r="F12" i="1"/>
  <c r="H36" i="1"/>
  <c r="E42" i="1"/>
  <c r="E46" i="1" s="1"/>
  <c r="I39" i="1"/>
  <c r="H40" i="1"/>
  <c r="F94" i="1" l="1"/>
  <c r="J62" i="1"/>
  <c r="J105" i="1" s="1"/>
  <c r="J142" i="1" s="1"/>
  <c r="J203" i="1"/>
  <c r="E94" i="1"/>
  <c r="G241" i="1"/>
  <c r="H238" i="1" s="1"/>
  <c r="H220" i="1"/>
  <c r="H209" i="1"/>
  <c r="H112" i="1" s="1"/>
  <c r="H113" i="1" s="1"/>
  <c r="J226" i="1"/>
  <c r="I222" i="1"/>
  <c r="H88" i="1"/>
  <c r="I234" i="1"/>
  <c r="I236" i="1" s="1"/>
  <c r="J131" i="1"/>
  <c r="I220" i="1"/>
  <c r="I209" i="1"/>
  <c r="I112" i="1" s="1"/>
  <c r="I113" i="1" s="1"/>
  <c r="F159" i="1"/>
  <c r="F192" i="1" s="1"/>
  <c r="E159" i="1"/>
  <c r="E192" i="1" s="1"/>
  <c r="E196" i="1" s="1"/>
  <c r="G152" i="1"/>
  <c r="G157" i="1"/>
  <c r="H155" i="1" s="1"/>
  <c r="I105" i="1"/>
  <c r="H105" i="1"/>
  <c r="H37" i="1"/>
  <c r="H75" i="1"/>
  <c r="H132" i="1"/>
  <c r="H63" i="1"/>
  <c r="G166" i="1"/>
  <c r="G169" i="1"/>
  <c r="G193" i="1" s="1"/>
  <c r="F169" i="1"/>
  <c r="F193" i="1" s="1"/>
  <c r="H133" i="1"/>
  <c r="I37" i="1"/>
  <c r="I132" i="1"/>
  <c r="I63" i="1"/>
  <c r="I133" i="1"/>
  <c r="I75" i="1"/>
  <c r="I162" i="1"/>
  <c r="I167" i="1"/>
  <c r="G53" i="1"/>
  <c r="G29" i="1"/>
  <c r="G101" i="1"/>
  <c r="G109" i="1" s="1"/>
  <c r="G122" i="1" s="1"/>
  <c r="E49" i="1"/>
  <c r="E239" i="1" s="1"/>
  <c r="E238" i="1" s="1"/>
  <c r="E12" i="1"/>
  <c r="J39" i="1"/>
  <c r="I8" i="1"/>
  <c r="F101" i="1"/>
  <c r="F109" i="1" s="1"/>
  <c r="F122" i="1" s="1"/>
  <c r="F29" i="1"/>
  <c r="F53" i="1"/>
  <c r="J40" i="1"/>
  <c r="J36" i="1"/>
  <c r="K35" i="1"/>
  <c r="K203" i="1" s="1"/>
  <c r="K226" i="1" l="1"/>
  <c r="J222" i="1"/>
  <c r="J220" i="1"/>
  <c r="J209" i="1"/>
  <c r="J112" i="1" s="1"/>
  <c r="J113" i="1" s="1"/>
  <c r="I227" i="1"/>
  <c r="I225" i="1"/>
  <c r="H227" i="1"/>
  <c r="H225" i="1"/>
  <c r="I88" i="1"/>
  <c r="I27" i="1"/>
  <c r="J234" i="1"/>
  <c r="J236" i="1" s="1"/>
  <c r="K220" i="1"/>
  <c r="K209" i="1"/>
  <c r="K112" i="1" s="1"/>
  <c r="K113" i="1" s="1"/>
  <c r="F196" i="1"/>
  <c r="I106" i="1"/>
  <c r="I143" i="1" s="1"/>
  <c r="H106" i="1"/>
  <c r="H143" i="1" s="1"/>
  <c r="H107" i="1"/>
  <c r="H144" i="1" s="1"/>
  <c r="H142" i="1"/>
  <c r="I142" i="1"/>
  <c r="I169" i="1"/>
  <c r="I193" i="1" s="1"/>
  <c r="I76" i="1"/>
  <c r="J165" i="1"/>
  <c r="J20" i="1" s="1"/>
  <c r="H152" i="1"/>
  <c r="H157" i="1"/>
  <c r="H159" i="1"/>
  <c r="H192" i="1" s="1"/>
  <c r="K62" i="1"/>
  <c r="K131" i="1"/>
  <c r="I107" i="1"/>
  <c r="I144" i="1" s="1"/>
  <c r="J37" i="1"/>
  <c r="J63" i="1"/>
  <c r="J106" i="1" s="1"/>
  <c r="J143" i="1" s="1"/>
  <c r="J133" i="1"/>
  <c r="J75" i="1"/>
  <c r="J107" i="1" s="1"/>
  <c r="J144" i="1" s="1"/>
  <c r="J132" i="1"/>
  <c r="G159" i="1"/>
  <c r="G192" i="1" s="1"/>
  <c r="G196" i="1" s="1"/>
  <c r="J8" i="1"/>
  <c r="K39" i="1"/>
  <c r="L35" i="1"/>
  <c r="L203" i="1" s="1"/>
  <c r="K40" i="1"/>
  <c r="K36" i="1"/>
  <c r="E29" i="1"/>
  <c r="E53" i="1"/>
  <c r="E101" i="1"/>
  <c r="E109" i="1" s="1"/>
  <c r="E122" i="1" s="1"/>
  <c r="E124" i="1" s="1"/>
  <c r="F123" i="1" s="1"/>
  <c r="F124" i="1" s="1"/>
  <c r="G123" i="1" s="1"/>
  <c r="G124" i="1" s="1"/>
  <c r="H123" i="1" s="1"/>
  <c r="K227" i="1" l="1"/>
  <c r="K225" i="1"/>
  <c r="L220" i="1"/>
  <c r="L209" i="1"/>
  <c r="L112" i="1" s="1"/>
  <c r="L113" i="1" s="1"/>
  <c r="J227" i="1"/>
  <c r="J225" i="1"/>
  <c r="K234" i="1"/>
  <c r="K236" i="1" s="1"/>
  <c r="J27" i="1"/>
  <c r="J88" i="1"/>
  <c r="L226" i="1"/>
  <c r="L222" i="1" s="1"/>
  <c r="K222" i="1"/>
  <c r="L105" i="1"/>
  <c r="K105" i="1"/>
  <c r="K142" i="1" s="1"/>
  <c r="I155" i="1"/>
  <c r="I18" i="1" s="1"/>
  <c r="H82" i="1"/>
  <c r="H83" i="1" s="1"/>
  <c r="J167" i="1"/>
  <c r="J162" i="1"/>
  <c r="K37" i="1"/>
  <c r="K75" i="1"/>
  <c r="K133" i="1"/>
  <c r="K63" i="1"/>
  <c r="K106" i="1" s="1"/>
  <c r="K143" i="1" s="1"/>
  <c r="K132" i="1"/>
  <c r="L131" i="1"/>
  <c r="L62" i="1"/>
  <c r="L40" i="1"/>
  <c r="L36" i="1"/>
  <c r="K8" i="1"/>
  <c r="L39" i="1"/>
  <c r="L8" i="1" s="1"/>
  <c r="L234" i="1" l="1"/>
  <c r="L236" i="1" s="1"/>
  <c r="K27" i="1"/>
  <c r="K88" i="1"/>
  <c r="L227" i="1"/>
  <c r="L225" i="1"/>
  <c r="L142" i="1"/>
  <c r="K165" i="1"/>
  <c r="K20" i="1" s="1"/>
  <c r="J169" i="1"/>
  <c r="J193" i="1" s="1"/>
  <c r="J76" i="1"/>
  <c r="L37" i="1"/>
  <c r="L75" i="1"/>
  <c r="L107" i="1" s="1"/>
  <c r="L144" i="1" s="1"/>
  <c r="L133" i="1"/>
  <c r="L63" i="1"/>
  <c r="L132" i="1"/>
  <c r="L106" i="1"/>
  <c r="L143" i="1" s="1"/>
  <c r="K107" i="1"/>
  <c r="K144" i="1" s="1"/>
  <c r="I152" i="1"/>
  <c r="I157" i="1"/>
  <c r="L27" i="1" l="1"/>
  <c r="L88" i="1"/>
  <c r="J155" i="1"/>
  <c r="J18" i="1" s="1"/>
  <c r="I82" i="1"/>
  <c r="I83" i="1" s="1"/>
  <c r="K167" i="1"/>
  <c r="K162" i="1"/>
  <c r="I159" i="1"/>
  <c r="I192" i="1" s="1"/>
  <c r="I196" i="1" s="1"/>
  <c r="I44" i="1" s="1"/>
  <c r="L165" i="1" l="1"/>
  <c r="L20" i="1" s="1"/>
  <c r="K169" i="1"/>
  <c r="K193" i="1" s="1"/>
  <c r="K76" i="1"/>
  <c r="J152" i="1"/>
  <c r="J157" i="1"/>
  <c r="K155" i="1" l="1"/>
  <c r="K18" i="1" s="1"/>
  <c r="J82" i="1"/>
  <c r="J83" i="1" s="1"/>
  <c r="J159" i="1"/>
  <c r="J192" i="1" s="1"/>
  <c r="J196" i="1" s="1"/>
  <c r="J44" i="1" s="1"/>
  <c r="L167" i="1"/>
  <c r="L162" i="1"/>
  <c r="L76" i="1" l="1"/>
  <c r="L169" i="1"/>
  <c r="L193" i="1" s="1"/>
  <c r="K152" i="1"/>
  <c r="K157" i="1"/>
  <c r="K159" i="1" s="1"/>
  <c r="K192" i="1" s="1"/>
  <c r="K196" i="1" s="1"/>
  <c r="K44" i="1" s="1"/>
  <c r="L155" i="1" l="1"/>
  <c r="L18" i="1" s="1"/>
  <c r="K82" i="1"/>
  <c r="K83" i="1" s="1"/>
  <c r="L152" i="1" l="1"/>
  <c r="L157" i="1"/>
  <c r="L82" i="1" s="1"/>
  <c r="L83" i="1" s="1"/>
  <c r="L159" i="1" l="1"/>
  <c r="L192" i="1" s="1"/>
  <c r="L196" i="1" s="1"/>
  <c r="L44" i="1" s="1"/>
  <c r="I11" i="1"/>
  <c r="J11" i="1"/>
  <c r="K11" i="1"/>
  <c r="L11" i="1"/>
  <c r="H22" i="1"/>
  <c r="H41" i="1"/>
  <c r="I41" i="1"/>
  <c r="J41" i="1"/>
  <c r="K41" i="1"/>
  <c r="L41" i="1"/>
  <c r="H42" i="1"/>
  <c r="I42" i="1"/>
  <c r="J42" i="1"/>
  <c r="K42" i="1"/>
  <c r="L42" i="1"/>
  <c r="H44" i="1"/>
  <c r="H46" i="1"/>
  <c r="I46" i="1"/>
  <c r="J46" i="1"/>
  <c r="K46" i="1"/>
  <c r="L46" i="1"/>
  <c r="H48" i="1"/>
  <c r="I48" i="1"/>
  <c r="J48" i="1"/>
  <c r="K48" i="1"/>
  <c r="L48" i="1"/>
  <c r="H49" i="1"/>
  <c r="I49" i="1"/>
  <c r="J49" i="1"/>
  <c r="K49" i="1"/>
  <c r="L49" i="1"/>
  <c r="H51" i="1"/>
  <c r="I51" i="1"/>
  <c r="J51" i="1"/>
  <c r="K51" i="1"/>
  <c r="L51" i="1"/>
  <c r="H53" i="1"/>
  <c r="I53" i="1"/>
  <c r="J53" i="1"/>
  <c r="K53" i="1"/>
  <c r="L53" i="1"/>
  <c r="H61" i="1"/>
  <c r="I61" i="1"/>
  <c r="J61" i="1"/>
  <c r="K61" i="1"/>
  <c r="L61" i="1"/>
  <c r="H64" i="1"/>
  <c r="I64" i="1"/>
  <c r="J64" i="1"/>
  <c r="K64" i="1"/>
  <c r="L64" i="1"/>
  <c r="H67" i="1"/>
  <c r="I67" i="1"/>
  <c r="J67" i="1"/>
  <c r="K67" i="1"/>
  <c r="L67" i="1"/>
  <c r="H70" i="1"/>
  <c r="I70" i="1"/>
  <c r="J70" i="1"/>
  <c r="K70" i="1"/>
  <c r="L70" i="1"/>
  <c r="H72" i="1"/>
  <c r="I72" i="1"/>
  <c r="J72" i="1"/>
  <c r="K72" i="1"/>
  <c r="L72" i="1"/>
  <c r="H78" i="1"/>
  <c r="I78" i="1"/>
  <c r="J78" i="1"/>
  <c r="K78" i="1"/>
  <c r="L78" i="1"/>
  <c r="H79" i="1"/>
  <c r="I79" i="1"/>
  <c r="J79" i="1"/>
  <c r="K79" i="1"/>
  <c r="L79" i="1"/>
  <c r="H85" i="1"/>
  <c r="I85" i="1"/>
  <c r="J85" i="1"/>
  <c r="K85" i="1"/>
  <c r="L85" i="1"/>
  <c r="H89" i="1"/>
  <c r="I89" i="1"/>
  <c r="J89" i="1"/>
  <c r="K89" i="1"/>
  <c r="L89" i="1"/>
  <c r="H90" i="1"/>
  <c r="I90" i="1"/>
  <c r="J90" i="1"/>
  <c r="K90" i="1"/>
  <c r="L90" i="1"/>
  <c r="H92" i="1"/>
  <c r="I92" i="1"/>
  <c r="J92" i="1"/>
  <c r="K92" i="1"/>
  <c r="L92" i="1"/>
  <c r="H94" i="1"/>
  <c r="I94" i="1"/>
  <c r="J94" i="1"/>
  <c r="K94" i="1"/>
  <c r="L94" i="1"/>
  <c r="H101" i="1"/>
  <c r="I101" i="1"/>
  <c r="J101" i="1"/>
  <c r="K101" i="1"/>
  <c r="L101" i="1"/>
  <c r="H102" i="1"/>
  <c r="I102" i="1"/>
  <c r="J102" i="1"/>
  <c r="K102" i="1"/>
  <c r="L102" i="1"/>
  <c r="H108" i="1"/>
  <c r="I108" i="1"/>
  <c r="J108" i="1"/>
  <c r="K108" i="1"/>
  <c r="L108" i="1"/>
  <c r="H109" i="1"/>
  <c r="I109" i="1"/>
  <c r="J109" i="1"/>
  <c r="K109" i="1"/>
  <c r="L109" i="1"/>
  <c r="H119" i="1"/>
  <c r="I119" i="1"/>
  <c r="J119" i="1"/>
  <c r="K119" i="1"/>
  <c r="L119" i="1"/>
  <c r="H120" i="1"/>
  <c r="I120" i="1"/>
  <c r="J120" i="1"/>
  <c r="K120" i="1"/>
  <c r="L120" i="1"/>
  <c r="H122" i="1"/>
  <c r="I122" i="1"/>
  <c r="J122" i="1"/>
  <c r="K122" i="1"/>
  <c r="L122" i="1"/>
  <c r="I123" i="1"/>
  <c r="J123" i="1"/>
  <c r="K123" i="1"/>
  <c r="L123" i="1"/>
  <c r="H124" i="1"/>
  <c r="I124" i="1"/>
  <c r="J124" i="1"/>
  <c r="K124" i="1"/>
  <c r="L124" i="1"/>
  <c r="H134" i="1"/>
  <c r="I134" i="1"/>
  <c r="J134" i="1"/>
  <c r="K134" i="1"/>
  <c r="L134" i="1"/>
  <c r="H145" i="1"/>
  <c r="I145" i="1"/>
  <c r="J145" i="1"/>
  <c r="K145" i="1"/>
  <c r="L145" i="1"/>
  <c r="H177" i="1"/>
  <c r="H183" i="1"/>
  <c r="H185" i="1"/>
  <c r="H186" i="1"/>
  <c r="H188" i="1"/>
  <c r="H189" i="1"/>
  <c r="H194" i="1"/>
  <c r="H195" i="1"/>
  <c r="H196" i="1"/>
  <c r="H204" i="1"/>
  <c r="I204" i="1"/>
  <c r="J204" i="1"/>
  <c r="K204" i="1"/>
  <c r="L204" i="1"/>
  <c r="I208" i="1"/>
  <c r="J208" i="1"/>
  <c r="K208" i="1"/>
  <c r="L208" i="1"/>
  <c r="H210" i="1"/>
  <c r="I210" i="1"/>
  <c r="J210" i="1"/>
  <c r="K210" i="1"/>
  <c r="L210" i="1"/>
  <c r="H211" i="1"/>
  <c r="I211" i="1"/>
  <c r="J211" i="1"/>
  <c r="K211" i="1"/>
  <c r="L211" i="1"/>
  <c r="I238" i="1"/>
  <c r="J238" i="1"/>
  <c r="K238" i="1"/>
  <c r="L238" i="1"/>
  <c r="H239" i="1"/>
  <c r="I239" i="1"/>
  <c r="J239" i="1"/>
  <c r="K239" i="1"/>
  <c r="L239" i="1"/>
  <c r="H240" i="1"/>
  <c r="I240" i="1"/>
  <c r="J240" i="1"/>
  <c r="K240" i="1"/>
  <c r="L240" i="1"/>
  <c r="H241" i="1"/>
  <c r="I241" i="1"/>
  <c r="J241" i="1"/>
  <c r="K241" i="1"/>
  <c r="L241" i="1"/>
</calcChain>
</file>

<file path=xl/sharedStrings.xml><?xml version="1.0" encoding="utf-8"?>
<sst xmlns="http://schemas.openxmlformats.org/spreadsheetml/2006/main" count="158" uniqueCount="127">
  <si>
    <t>Assumption and Drivers</t>
  </si>
  <si>
    <t>Revenue Growth %</t>
  </si>
  <si>
    <t>Gross Margin</t>
  </si>
  <si>
    <t>SG&amp;A (Adjustted for Inflation)</t>
  </si>
  <si>
    <t>R&amp;D (As a % of revenue)</t>
  </si>
  <si>
    <t>Depreciation (As a % of PP&amp;E)</t>
  </si>
  <si>
    <t xml:space="preserve">Effective Tax Rate </t>
  </si>
  <si>
    <t>Capital expenditure (As a % of Revenue)</t>
  </si>
  <si>
    <t>Accounts Recieveable Day</t>
  </si>
  <si>
    <t xml:space="preserve">Inventory Days </t>
  </si>
  <si>
    <t xml:space="preserve">Account Payable Days </t>
  </si>
  <si>
    <t xml:space="preserve">Income Tax Payable Days </t>
  </si>
  <si>
    <t xml:space="preserve">Long Term Debt Interest Rate </t>
  </si>
  <si>
    <t xml:space="preserve">Short Term Debt Balance </t>
  </si>
  <si>
    <t xml:space="preserve">Short Term Debt Interest Rate </t>
  </si>
  <si>
    <t xml:space="preserve">Revolver Interest Rate </t>
  </si>
  <si>
    <t>Revolver Continuence Fee</t>
  </si>
  <si>
    <t>Inflation Rate (%)</t>
  </si>
  <si>
    <t>Assume all numbers are in Millions (USD), unless stated otherwise.</t>
  </si>
  <si>
    <t xml:space="preserve"> </t>
  </si>
  <si>
    <t xml:space="preserve">Income Statement </t>
  </si>
  <si>
    <t xml:space="preserve">Revenue </t>
  </si>
  <si>
    <t>COGS</t>
  </si>
  <si>
    <t xml:space="preserve">Gorss Profit </t>
  </si>
  <si>
    <t>SG&amp;A</t>
  </si>
  <si>
    <t>R&amp;D</t>
  </si>
  <si>
    <t xml:space="preserve">Dperectiation </t>
  </si>
  <si>
    <t>EBIT</t>
  </si>
  <si>
    <t xml:space="preserve">Interest Expense </t>
  </si>
  <si>
    <t xml:space="preserve">Interest Income </t>
  </si>
  <si>
    <t xml:space="preserve">EBT </t>
  </si>
  <si>
    <t>Taxes</t>
  </si>
  <si>
    <t xml:space="preserve">Net Income </t>
  </si>
  <si>
    <t xml:space="preserve">Dividends </t>
  </si>
  <si>
    <t xml:space="preserve">Retained Earnings </t>
  </si>
  <si>
    <t xml:space="preserve">Current Assets </t>
  </si>
  <si>
    <t xml:space="preserve">Cash </t>
  </si>
  <si>
    <t xml:space="preserve">Account Recieveables </t>
  </si>
  <si>
    <t xml:space="preserve">Inventory </t>
  </si>
  <si>
    <t xml:space="preserve">Total Current Assets </t>
  </si>
  <si>
    <t xml:space="preserve">Non-Current Assets </t>
  </si>
  <si>
    <t xml:space="preserve">PP&amp;E </t>
  </si>
  <si>
    <t xml:space="preserve">Intangibles </t>
  </si>
  <si>
    <t xml:space="preserve">Goodwille </t>
  </si>
  <si>
    <t xml:space="preserve">Total Non-Current Assets </t>
  </si>
  <si>
    <t xml:space="preserve">Total Assets </t>
  </si>
  <si>
    <t>Current Liabilities</t>
  </si>
  <si>
    <t xml:space="preserve">Accounts Payable </t>
  </si>
  <si>
    <t xml:space="preserve">Short Term Debt </t>
  </si>
  <si>
    <t xml:space="preserve">Income taxes Payable </t>
  </si>
  <si>
    <t>Total Current Liabilities</t>
  </si>
  <si>
    <t>Non-Current Liabilities</t>
  </si>
  <si>
    <t xml:space="preserve">Long Term Debt </t>
  </si>
  <si>
    <t>Credit Revolver</t>
  </si>
  <si>
    <t>Total Non-Current Liabilities</t>
  </si>
  <si>
    <t xml:space="preserve">Shareholder Equity </t>
  </si>
  <si>
    <t xml:space="preserve">Common Equity </t>
  </si>
  <si>
    <t xml:space="preserve">retained Earnings </t>
  </si>
  <si>
    <t xml:space="preserve">Total Shareholder Equity </t>
  </si>
  <si>
    <t xml:space="preserve">Total Liabilities and Shareholder Equity </t>
  </si>
  <si>
    <t xml:space="preserve">Balance Check </t>
  </si>
  <si>
    <t xml:space="preserve">Cashflow Statement </t>
  </si>
  <si>
    <t>Balance Sheet</t>
  </si>
  <si>
    <t xml:space="preserve">Depreciationg </t>
  </si>
  <si>
    <t xml:space="preserve">Cashflow From Operating Activites </t>
  </si>
  <si>
    <t xml:space="preserve">Changes in Account Recieveable </t>
  </si>
  <si>
    <t xml:space="preserve">Changes in Inventory </t>
  </si>
  <si>
    <t xml:space="preserve">Changes in Accounts Payable </t>
  </si>
  <si>
    <t xml:space="preserve">Changes in Income taxes Payable </t>
  </si>
  <si>
    <t>Net Change in Cash From Operating Activies</t>
  </si>
  <si>
    <t>Cashflow From Investment Activites</t>
  </si>
  <si>
    <t xml:space="preserve">Capital Expenditrue </t>
  </si>
  <si>
    <t xml:space="preserve">Net Change in Cash From Investing Activiities </t>
  </si>
  <si>
    <t xml:space="preserve">Cashflow From Financing Activies </t>
  </si>
  <si>
    <t>Increase/ (Decrease) in Long Term Debt</t>
  </si>
  <si>
    <t>Increase/ (Decrease) in Short Term Debt</t>
  </si>
  <si>
    <t xml:space="preserve">Offering/ (Buyback) in Common Equity </t>
  </si>
  <si>
    <t xml:space="preserve">Dividiends </t>
  </si>
  <si>
    <t>Net Change in Cash From financing Activities</t>
  </si>
  <si>
    <t xml:space="preserve">Nett Change in Cash </t>
  </si>
  <si>
    <t xml:space="preserve">Beginning Cash balance </t>
  </si>
  <si>
    <t xml:space="preserve">Ending Cash Balance </t>
  </si>
  <si>
    <t xml:space="preserve">Working Capital Schedule </t>
  </si>
  <si>
    <t xml:space="preserve">Changes In </t>
  </si>
  <si>
    <t>Debt  Schedule Part 1</t>
  </si>
  <si>
    <t xml:space="preserve">Long Term Debt Beginning Balance </t>
  </si>
  <si>
    <t xml:space="preserve">Long term Debt Ending Balance </t>
  </si>
  <si>
    <t xml:space="preserve">Long Term Debt Interest expense </t>
  </si>
  <si>
    <t xml:space="preserve">ShortTerm Debt Interest Rate </t>
  </si>
  <si>
    <t xml:space="preserve">Short Term Debt Beginning Balance </t>
  </si>
  <si>
    <t xml:space="preserve">Short term Debt Ending Balance </t>
  </si>
  <si>
    <t xml:space="preserve">Short Term Debt Interest expense </t>
  </si>
  <si>
    <t>Debt  Schedule Part 2</t>
  </si>
  <si>
    <t xml:space="preserve">Revolver beginning Balance </t>
  </si>
  <si>
    <t>Draw</t>
  </si>
  <si>
    <t xml:space="preserve">Repayment </t>
  </si>
  <si>
    <t xml:space="preserve">Ending Revolver Balance </t>
  </si>
  <si>
    <t xml:space="preserve">Reolver Interest Expense </t>
  </si>
  <si>
    <t xml:space="preserve">Total Interest Expense </t>
  </si>
  <si>
    <t>Asset Schedule</t>
  </si>
  <si>
    <t xml:space="preserve">Beginning PP&amp;E Balance </t>
  </si>
  <si>
    <t>Capital Expenditures</t>
  </si>
  <si>
    <t>(Deprectiation)</t>
  </si>
  <si>
    <t>Ending PP&amp;E Balance</t>
  </si>
  <si>
    <t xml:space="preserve">Costs Schedule </t>
  </si>
  <si>
    <t>Inflation</t>
  </si>
  <si>
    <t>Revenue</t>
  </si>
  <si>
    <t xml:space="preserve">COGS </t>
  </si>
  <si>
    <t xml:space="preserve">Equity Schedule </t>
  </si>
  <si>
    <t xml:space="preserve">Beginning Common Equity </t>
  </si>
  <si>
    <t xml:space="preserve">Ending Common Equity </t>
  </si>
  <si>
    <t xml:space="preserve">Beginning Retained Earnings </t>
  </si>
  <si>
    <t>Ending Retained Earniings</t>
  </si>
  <si>
    <t xml:space="preserve">Minimum Cash Balance </t>
  </si>
  <si>
    <t>Dividends (A % of Net Income)</t>
  </si>
  <si>
    <t xml:space="preserve">Opening PP&amp;E Net Book Balance </t>
  </si>
  <si>
    <t xml:space="preserve">Lonng Term Debt Beginning Balance </t>
  </si>
  <si>
    <t xml:space="preserve">Revolver Beginning Balance </t>
  </si>
  <si>
    <t>Common Equity Beginning Balance</t>
  </si>
  <si>
    <t xml:space="preserve">Total Liabilities </t>
  </si>
  <si>
    <t>Minimum Cash</t>
  </si>
  <si>
    <t>-</t>
  </si>
  <si>
    <t>Maximum Revolver Balance</t>
  </si>
  <si>
    <t>Interest Income Schedule</t>
  </si>
  <si>
    <t xml:space="preserve">Interest Rate </t>
  </si>
  <si>
    <t xml:space="preserve">Interest Earned </t>
  </si>
  <si>
    <t>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</si>
</sst>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&quot;A&quot;"/>
    <numFmt numFmtId="165" formatCode="yyyy&quot;F&quot;"/>
    <numFmt numFmtId="166" formatCode="#,##0.0;\(#,##0.0\);\-"/>
    <numFmt numFmtId="167" formatCode="#,##0.0_);\(#,##0.0\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0000FF"/>
      <name val="Arial"/>
      <family val="2"/>
    </font>
    <font>
      <sz val="10"/>
      <name val="Arial"/>
      <family val="2"/>
    </font>
    <font>
      <sz val="11"/>
      <color theme="3" tint="0.249977111117893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 style="double">
        <color auto="1"/>
      </bottom>
      <diagonal/>
    </border>
    <border>
      <left style="dashed">
        <color auto="1"/>
      </left>
      <right/>
      <top style="medium">
        <color auto="1"/>
      </top>
      <bottom style="medium">
        <color auto="1"/>
      </bottom>
      <diagonal/>
    </border>
    <border>
      <left style="dashed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2" borderId="1" xfId="0" applyNumberFormat="1" applyFill="1" applyBorder="1"/>
    <xf numFmtId="165" fontId="0" fillId="2" borderId="2" xfId="0" applyNumberFormat="1" applyFill="1" applyBorder="1"/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0" fillId="3" borderId="0" xfId="0" applyFill="1"/>
    <xf numFmtId="0" fontId="0" fillId="3" borderId="5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" xfId="0" applyFill="1" applyBorder="1"/>
    <xf numFmtId="0" fontId="0" fillId="3" borderId="10" xfId="0" applyFill="1" applyBorder="1"/>
    <xf numFmtId="167" fontId="0" fillId="0" borderId="0" xfId="0" applyNumberFormat="1"/>
    <xf numFmtId="0" fontId="2" fillId="0" borderId="0" xfId="0" applyFont="1" applyAlignment="1">
      <alignment wrapText="1"/>
    </xf>
    <xf numFmtId="39" fontId="3" fillId="0" borderId="0" xfId="0" applyNumberFormat="1" applyFont="1"/>
    <xf numFmtId="39" fontId="0" fillId="0" borderId="0" xfId="0" applyNumberFormat="1"/>
    <xf numFmtId="37" fontId="0" fillId="3" borderId="5" xfId="0" applyNumberFormat="1" applyFill="1" applyBorder="1"/>
    <xf numFmtId="1" fontId="0" fillId="3" borderId="9" xfId="0" applyNumberFormat="1" applyFill="1" applyBorder="1"/>
    <xf numFmtId="1" fontId="0" fillId="3" borderId="1" xfId="0" applyNumberFormat="1" applyFill="1" applyBorder="1"/>
    <xf numFmtId="10" fontId="0" fillId="3" borderId="9" xfId="0" applyNumberFormat="1" applyFill="1" applyBorder="1"/>
    <xf numFmtId="10" fontId="0" fillId="3" borderId="1" xfId="0" applyNumberFormat="1" applyFill="1" applyBorder="1"/>
    <xf numFmtId="10" fontId="0" fillId="3" borderId="10" xfId="0" applyNumberFormat="1" applyFill="1" applyBorder="1"/>
    <xf numFmtId="10" fontId="0" fillId="3" borderId="7" xfId="0" applyNumberFormat="1" applyFill="1" applyBorder="1"/>
    <xf numFmtId="10" fontId="0" fillId="3" borderId="0" xfId="0" applyNumberFormat="1" applyFill="1"/>
    <xf numFmtId="10" fontId="0" fillId="3" borderId="8" xfId="0" applyNumberFormat="1" applyFill="1" applyBorder="1"/>
    <xf numFmtId="39" fontId="0" fillId="3" borderId="9" xfId="0" applyNumberFormat="1" applyFill="1" applyBorder="1"/>
    <xf numFmtId="39" fontId="0" fillId="3" borderId="1" xfId="0" applyNumberFormat="1" applyFill="1" applyBorder="1"/>
    <xf numFmtId="39" fontId="0" fillId="3" borderId="10" xfId="0" applyNumberFormat="1" applyFill="1" applyBorder="1"/>
    <xf numFmtId="10" fontId="0" fillId="3" borderId="3" xfId="0" applyNumberFormat="1" applyFill="1" applyBorder="1"/>
    <xf numFmtId="10" fontId="0" fillId="3" borderId="6" xfId="0" applyNumberFormat="1" applyFill="1" applyBorder="1"/>
    <xf numFmtId="39" fontId="0" fillId="3" borderId="7" xfId="0" applyNumberFormat="1" applyFill="1" applyBorder="1"/>
    <xf numFmtId="39" fontId="4" fillId="0" borderId="0" xfId="0" applyNumberFormat="1" applyFont="1"/>
    <xf numFmtId="39" fontId="0" fillId="0" borderId="3" xfId="0" applyNumberFormat="1" applyBorder="1"/>
    <xf numFmtId="39" fontId="0" fillId="3" borderId="5" xfId="0" applyNumberFormat="1" applyFill="1" applyBorder="1"/>
    <xf numFmtId="39" fontId="0" fillId="3" borderId="3" xfId="0" applyNumberFormat="1" applyFill="1" applyBorder="1"/>
    <xf numFmtId="39" fontId="0" fillId="3" borderId="6" xfId="0" applyNumberFormat="1" applyFill="1" applyBorder="1"/>
    <xf numFmtId="39" fontId="0" fillId="3" borderId="0" xfId="0" applyNumberFormat="1" applyFill="1"/>
    <xf numFmtId="39" fontId="0" fillId="3" borderId="8" xfId="0" applyNumberFormat="1" applyFill="1" applyBorder="1"/>
    <xf numFmtId="39" fontId="0" fillId="3" borderId="11" xfId="0" applyNumberFormat="1" applyFill="1" applyBorder="1"/>
    <xf numFmtId="39" fontId="0" fillId="3" borderId="12" xfId="0" applyNumberFormat="1" applyFill="1" applyBorder="1"/>
    <xf numFmtId="39" fontId="0" fillId="3" borderId="13" xfId="0" applyNumberFormat="1" applyFill="1" applyBorder="1"/>
    <xf numFmtId="0" fontId="0" fillId="3" borderId="5" xfId="0" applyFill="1" applyBorder="1" applyAlignment="1">
      <alignment horizontal="right"/>
    </xf>
    <xf numFmtId="10" fontId="6" fillId="3" borderId="1" xfId="0" applyNumberFormat="1" applyFont="1" applyFill="1" applyBorder="1"/>
    <xf numFmtId="10" fontId="6" fillId="3" borderId="10" xfId="0" applyNumberFormat="1" applyFont="1" applyFill="1" applyBorder="1"/>
    <xf numFmtId="39" fontId="0" fillId="0" borderId="12" xfId="0" applyNumberFormat="1" applyBorder="1"/>
    <xf numFmtId="39" fontId="0" fillId="0" borderId="13" xfId="0" applyNumberFormat="1" applyBorder="1"/>
    <xf numFmtId="10" fontId="7" fillId="3" borderId="9" xfId="0" applyNumberFormat="1" applyFont="1" applyFill="1" applyBorder="1"/>
    <xf numFmtId="10" fontId="7" fillId="3" borderId="1" xfId="0" applyNumberFormat="1" applyFont="1" applyFill="1" applyBorder="1"/>
    <xf numFmtId="39" fontId="6" fillId="0" borderId="11" xfId="0" applyNumberFormat="1" applyFont="1" applyBorder="1"/>
    <xf numFmtId="39" fontId="6" fillId="0" borderId="12" xfId="0" applyNumberFormat="1" applyFont="1" applyBorder="1"/>
    <xf numFmtId="10" fontId="0" fillId="0" borderId="0" xfId="0" applyNumberFormat="1"/>
    <xf numFmtId="10" fontId="6" fillId="0" borderId="0" xfId="0" applyNumberFormat="1" applyFont="1"/>
    <xf numFmtId="10" fontId="3" fillId="0" borderId="0" xfId="0" applyNumberFormat="1" applyFont="1"/>
    <xf numFmtId="166" fontId="3" fillId="0" borderId="0" xfId="0" applyNumberFormat="1" applyFont="1"/>
    <xf numFmtId="166" fontId="0" fillId="0" borderId="0" xfId="0" applyNumberFormat="1"/>
    <xf numFmtId="37" fontId="4" fillId="0" borderId="0" xfId="0" applyNumberFormat="1" applyFont="1"/>
    <xf numFmtId="37" fontId="3" fillId="0" borderId="0" xfId="0" applyNumberFormat="1" applyFont="1"/>
    <xf numFmtId="0" fontId="5" fillId="0" borderId="0" xfId="0" applyFont="1"/>
    <xf numFmtId="10" fontId="4" fillId="0" borderId="0" xfId="0" applyNumberFormat="1" applyFont="1"/>
    <xf numFmtId="10" fontId="6" fillId="0" borderId="14" xfId="0" applyNumberFormat="1" applyFont="1" applyBorder="1"/>
    <xf numFmtId="39" fontId="0" fillId="0" borderId="14" xfId="0" applyNumberFormat="1" applyBorder="1"/>
    <xf numFmtId="10" fontId="3" fillId="0" borderId="14" xfId="0" applyNumberFormat="1" applyFont="1" applyBorder="1"/>
    <xf numFmtId="166" fontId="0" fillId="0" borderId="14" xfId="0" applyNumberFormat="1" applyBorder="1"/>
    <xf numFmtId="37" fontId="3" fillId="0" borderId="14" xfId="0" applyNumberFormat="1" applyFont="1" applyBorder="1"/>
    <xf numFmtId="39" fontId="3" fillId="0" borderId="14" xfId="0" applyNumberFormat="1" applyFont="1" applyBorder="1"/>
    <xf numFmtId="39" fontId="4" fillId="0" borderId="14" xfId="0" applyNumberFormat="1" applyFont="1" applyBorder="1"/>
    <xf numFmtId="39" fontId="0" fillId="0" borderId="15" xfId="0" applyNumberFormat="1" applyBorder="1"/>
    <xf numFmtId="39" fontId="0" fillId="3" borderId="15" xfId="0" applyNumberFormat="1" applyFill="1" applyBorder="1"/>
    <xf numFmtId="39" fontId="0" fillId="3" borderId="14" xfId="0" applyNumberFormat="1" applyFill="1" applyBorder="1"/>
    <xf numFmtId="39" fontId="0" fillId="3" borderId="18" xfId="0" applyNumberFormat="1" applyFill="1" applyBorder="1"/>
    <xf numFmtId="0" fontId="0" fillId="3" borderId="15" xfId="0" applyFill="1" applyBorder="1"/>
    <xf numFmtId="0" fontId="0" fillId="3" borderId="14" xfId="0" applyFill="1" applyBorder="1"/>
    <xf numFmtId="0" fontId="0" fillId="3" borderId="18" xfId="0" applyFill="1" applyBorder="1"/>
    <xf numFmtId="10" fontId="0" fillId="3" borderId="18" xfId="0" applyNumberFormat="1" applyFill="1" applyBorder="1"/>
    <xf numFmtId="39" fontId="0" fillId="3" borderId="17" xfId="0" applyNumberFormat="1" applyFill="1" applyBorder="1"/>
    <xf numFmtId="10" fontId="0" fillId="3" borderId="14" xfId="0" applyNumberFormat="1" applyFill="1" applyBorder="1"/>
    <xf numFmtId="10" fontId="0" fillId="3" borderId="15" xfId="0" applyNumberFormat="1" applyFill="1" applyBorder="1"/>
    <xf numFmtId="10" fontId="6" fillId="3" borderId="18" xfId="0" applyNumberFormat="1" applyFont="1" applyFill="1" applyBorder="1"/>
    <xf numFmtId="39" fontId="0" fillId="0" borderId="17" xfId="0" applyNumberFormat="1" applyBorder="1"/>
    <xf numFmtId="39" fontId="0" fillId="0" borderId="4" xfId="0" applyNumberFormat="1" applyBorder="1"/>
    <xf numFmtId="39" fontId="0" fillId="0" borderId="16" xfId="0" applyNumberFormat="1" applyBorder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A049-5828-4741-9573-39F01F58BD21}">
  <dimension ref="A2:L253"/>
  <sheetViews>
    <sheetView tabSelected="1" topLeftCell="A21" workbookViewId="0">
      <selection activeCell="H27" sqref="H27"/>
    </sheetView>
  </sheetViews>
  <sheetFormatPr defaultRowHeight="15" x14ac:dyDescent="0.25"/>
  <cols>
    <col min="2" max="2" width="39.140625" bestFit="1" customWidth="1"/>
    <col min="4" max="4" width="1.7109375" customWidth="1"/>
    <col min="5" max="5" width="10.140625" bestFit="1" customWidth="1"/>
  </cols>
  <sheetData>
    <row r="2" spans="1:12" x14ac:dyDescent="0.25">
      <c r="A2" t="s">
        <v>19</v>
      </c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4.45" customHeight="1" x14ac:dyDescent="0.25">
      <c r="B3" s="86" t="s">
        <v>18</v>
      </c>
      <c r="C3" s="18"/>
      <c r="D3" s="18"/>
    </row>
    <row r="4" spans="1:12" ht="15.75" thickBot="1" x14ac:dyDescent="0.3">
      <c r="B4" s="86"/>
      <c r="C4" s="18"/>
      <c r="D4" s="18"/>
      <c r="E4" s="3">
        <f>DATE(2022,6,30)</f>
        <v>44742</v>
      </c>
      <c r="F4" s="3">
        <f>EDATE(E4,12)</f>
        <v>45107</v>
      </c>
      <c r="G4" s="3">
        <f t="shared" ref="G4:L4" si="0">EDATE(F4,12)</f>
        <v>45473</v>
      </c>
      <c r="H4" s="4">
        <f t="shared" si="0"/>
        <v>45838</v>
      </c>
      <c r="I4" s="4">
        <f t="shared" si="0"/>
        <v>46203</v>
      </c>
      <c r="J4" s="4">
        <f t="shared" si="0"/>
        <v>46568</v>
      </c>
      <c r="K4" s="4">
        <f t="shared" si="0"/>
        <v>46934</v>
      </c>
      <c r="L4" s="4">
        <f t="shared" si="0"/>
        <v>47299</v>
      </c>
    </row>
    <row r="6" spans="1:12" x14ac:dyDescent="0.25">
      <c r="B6" t="s">
        <v>1</v>
      </c>
      <c r="F6" s="55">
        <f>(F35-E35)/E35</f>
        <v>8.434909800097519E-2</v>
      </c>
      <c r="G6" s="55">
        <f>(G35-F35)/F35</f>
        <v>6.8120503597122323E-2</v>
      </c>
      <c r="H6" s="64">
        <v>6.5000000000000002E-2</v>
      </c>
      <c r="I6" s="56">
        <v>6.4000000000000001E-2</v>
      </c>
      <c r="J6" s="56">
        <v>6.7000000000000004E-2</v>
      </c>
      <c r="K6" s="56">
        <v>7.0000000000000007E-2</v>
      </c>
      <c r="L6" s="56">
        <v>7.1999999999999995E-2</v>
      </c>
    </row>
    <row r="7" spans="1:12" x14ac:dyDescent="0.25">
      <c r="B7" t="s">
        <v>2</v>
      </c>
      <c r="E7" s="55">
        <f>E37/E35</f>
        <v>0.42003900536323741</v>
      </c>
      <c r="F7" s="55">
        <f t="shared" ref="F7:G7" si="1">F37/F35</f>
        <v>0.42603417266187049</v>
      </c>
      <c r="G7" s="55">
        <f t="shared" si="1"/>
        <v>0.43096190275731422</v>
      </c>
      <c r="H7" s="64">
        <v>0.42499999999999999</v>
      </c>
      <c r="I7" s="56">
        <v>0.42499999999999999</v>
      </c>
      <c r="J7" s="56">
        <v>0.42499999999999999</v>
      </c>
      <c r="K7" s="56">
        <v>0.42499999999999999</v>
      </c>
      <c r="L7" s="56">
        <v>0.42499999999999999</v>
      </c>
    </row>
    <row r="8" spans="1:12" x14ac:dyDescent="0.25">
      <c r="B8" t="s">
        <v>3</v>
      </c>
      <c r="E8" s="20">
        <f>E39*-1</f>
        <v>168</v>
      </c>
      <c r="F8" s="20">
        <f t="shared" ref="F8:G8" si="2">F39*-1</f>
        <v>176.1</v>
      </c>
      <c r="G8" s="20">
        <f t="shared" si="2"/>
        <v>183</v>
      </c>
      <c r="H8" s="65">
        <f>H39*-1</f>
        <v>190.32</v>
      </c>
      <c r="I8" s="20">
        <f t="shared" ref="I8:L8" si="3">I39*-1</f>
        <v>198.88439999999997</v>
      </c>
      <c r="J8" s="20">
        <f t="shared" si="3"/>
        <v>205.84535399999996</v>
      </c>
      <c r="K8" s="20">
        <f t="shared" si="3"/>
        <v>216.13762169999995</v>
      </c>
      <c r="L8" s="20">
        <f t="shared" si="3"/>
        <v>223.16209440524995</v>
      </c>
    </row>
    <row r="9" spans="1:12" x14ac:dyDescent="0.25">
      <c r="B9" t="s">
        <v>4</v>
      </c>
      <c r="E9" s="55">
        <f>-E40/E35</f>
        <v>6.9965870307167236E-2</v>
      </c>
      <c r="F9" s="55">
        <f t="shared" ref="F9:G9" si="4">-F40/F35</f>
        <v>7.003147482014388E-2</v>
      </c>
      <c r="G9" s="55">
        <f t="shared" si="4"/>
        <v>7.1037676278678172E-2</v>
      </c>
      <c r="H9" s="66">
        <v>7.0000000000000007E-2</v>
      </c>
      <c r="I9" s="57">
        <v>7.0000000000000007E-2</v>
      </c>
      <c r="J9" s="57">
        <v>7.0000000000000007E-2</v>
      </c>
      <c r="K9" s="57">
        <v>7.0000000000000007E-2</v>
      </c>
      <c r="L9" s="57">
        <v>7.0000000000000007E-2</v>
      </c>
    </row>
    <row r="10" spans="1:12" x14ac:dyDescent="0.25">
      <c r="B10" t="s">
        <v>5</v>
      </c>
      <c r="E10" s="55">
        <f>-(E41/E11)</f>
        <v>0.12686567164179105</v>
      </c>
      <c r="F10" s="55">
        <f t="shared" ref="F10:G10" si="5">-(F41/F11)</f>
        <v>0.13129496402877697</v>
      </c>
      <c r="G10" s="55">
        <f t="shared" si="5"/>
        <v>0.13493975903614458</v>
      </c>
      <c r="H10" s="66">
        <v>0.13</v>
      </c>
      <c r="I10" s="57">
        <v>0.13</v>
      </c>
      <c r="J10" s="57">
        <v>0.13</v>
      </c>
      <c r="K10" s="57">
        <v>0.13</v>
      </c>
      <c r="L10" s="57">
        <v>0.13</v>
      </c>
    </row>
    <row r="11" spans="1:12" x14ac:dyDescent="0.25">
      <c r="B11" t="s">
        <v>115</v>
      </c>
      <c r="E11" s="58">
        <v>268</v>
      </c>
      <c r="F11" s="58">
        <v>278</v>
      </c>
      <c r="G11" s="58">
        <v>290.5</v>
      </c>
      <c r="H11" s="67">
        <f>H208</f>
        <v>304.3</v>
      </c>
      <c r="I11" s="59">
        <f t="shared" ref="I11:L11" ca="1" si="6">I208</f>
        <v>318.54687168141595</v>
      </c>
      <c r="J11" s="59">
        <f t="shared" ca="1" si="6"/>
        <v>334.30703224904067</v>
      </c>
      <c r="K11" s="59">
        <f t="shared" ca="1" si="6"/>
        <v>351.76535576810682</v>
      </c>
      <c r="L11" s="59">
        <f t="shared" ca="1" si="6"/>
        <v>371.12948931048777</v>
      </c>
    </row>
    <row r="12" spans="1:12" x14ac:dyDescent="0.25">
      <c r="B12" t="s">
        <v>6</v>
      </c>
      <c r="E12" s="55">
        <f>-E48/E46</f>
        <v>0.24478442280945772</v>
      </c>
      <c r="F12" s="55">
        <f t="shared" ref="F12:G12" si="7">-F48/F46</f>
        <v>0.24456521739130432</v>
      </c>
      <c r="G12" s="55">
        <f t="shared" si="7"/>
        <v>0.23970722781335774</v>
      </c>
      <c r="H12" s="64">
        <v>0.24</v>
      </c>
      <c r="I12" s="56">
        <v>0.24</v>
      </c>
      <c r="J12" s="56">
        <v>0.24</v>
      </c>
      <c r="K12" s="56">
        <v>0.24</v>
      </c>
      <c r="L12" s="56">
        <v>0.24</v>
      </c>
    </row>
    <row r="13" spans="1:12" x14ac:dyDescent="0.25">
      <c r="B13" t="s">
        <v>7</v>
      </c>
      <c r="E13" s="55">
        <f>-E112/E35</f>
        <v>5.363237445148708E-2</v>
      </c>
      <c r="F13" s="55">
        <f t="shared" ref="F13:G13" si="8">-F112/F35</f>
        <v>5.5080935251798559E-2</v>
      </c>
      <c r="G13" s="55">
        <f t="shared" si="8"/>
        <v>5.5777731003999152E-2</v>
      </c>
      <c r="H13" s="64">
        <v>5.5E-2</v>
      </c>
      <c r="I13" s="56">
        <v>5.5E-2</v>
      </c>
      <c r="J13" s="56">
        <v>5.5E-2</v>
      </c>
      <c r="K13" s="56">
        <v>5.5E-2</v>
      </c>
      <c r="L13" s="56">
        <v>5.5E-2</v>
      </c>
    </row>
    <row r="14" spans="1:12" x14ac:dyDescent="0.25">
      <c r="B14" t="s">
        <v>8</v>
      </c>
      <c r="E14" s="60">
        <v>52</v>
      </c>
      <c r="F14" s="60">
        <v>54</v>
      </c>
      <c r="G14" s="60">
        <v>56</v>
      </c>
      <c r="H14" s="68">
        <v>54</v>
      </c>
      <c r="I14" s="61">
        <v>52</v>
      </c>
      <c r="J14" s="61">
        <v>51</v>
      </c>
      <c r="K14" s="61">
        <v>52</v>
      </c>
      <c r="L14" s="61">
        <v>52</v>
      </c>
    </row>
    <row r="15" spans="1:12" x14ac:dyDescent="0.25">
      <c r="B15" t="s">
        <v>9</v>
      </c>
      <c r="E15" s="60">
        <v>78</v>
      </c>
      <c r="F15" s="60">
        <v>80</v>
      </c>
      <c r="G15" s="60">
        <v>81</v>
      </c>
      <c r="H15" s="68">
        <v>80</v>
      </c>
      <c r="I15" s="61">
        <v>80</v>
      </c>
      <c r="J15" s="61">
        <v>80</v>
      </c>
      <c r="K15" s="61">
        <v>80</v>
      </c>
      <c r="L15" s="61">
        <v>80</v>
      </c>
    </row>
    <row r="16" spans="1:12" x14ac:dyDescent="0.25">
      <c r="B16" t="s">
        <v>10</v>
      </c>
      <c r="E16" s="60">
        <v>44</v>
      </c>
      <c r="F16" s="60">
        <v>45</v>
      </c>
      <c r="G16" s="60">
        <v>45</v>
      </c>
      <c r="H16" s="68">
        <v>45</v>
      </c>
      <c r="I16" s="61">
        <v>45</v>
      </c>
      <c r="J16" s="61">
        <v>45</v>
      </c>
      <c r="K16" s="61">
        <v>45</v>
      </c>
      <c r="L16" s="61">
        <v>45</v>
      </c>
    </row>
    <row r="17" spans="1:12" x14ac:dyDescent="0.25">
      <c r="B17" t="s">
        <v>11</v>
      </c>
      <c r="E17" s="60">
        <f>(E78/E48)*-365</f>
        <v>60.142045454545453</v>
      </c>
      <c r="F17" s="60">
        <f t="shared" ref="F17:G17" si="9">(F78/F48)*-365</f>
        <v>61.644444444444446</v>
      </c>
      <c r="G17" s="60">
        <f t="shared" si="9"/>
        <v>61.297709923664137</v>
      </c>
      <c r="H17" s="68">
        <v>60</v>
      </c>
      <c r="I17" s="61">
        <v>60</v>
      </c>
      <c r="J17" s="61">
        <v>60</v>
      </c>
      <c r="K17" s="61">
        <v>60</v>
      </c>
      <c r="L17" s="61">
        <v>60</v>
      </c>
    </row>
    <row r="18" spans="1:12" x14ac:dyDescent="0.25">
      <c r="B18" t="s">
        <v>116</v>
      </c>
      <c r="E18" s="62">
        <f>260</f>
        <v>260</v>
      </c>
      <c r="F18" s="59">
        <f>E82</f>
        <v>240</v>
      </c>
      <c r="G18" s="59">
        <f t="shared" ref="G18:H18" si="10">F82</f>
        <v>220</v>
      </c>
      <c r="H18" s="67">
        <f t="shared" si="10"/>
        <v>200</v>
      </c>
      <c r="I18">
        <f>I155</f>
        <v>180</v>
      </c>
      <c r="J18">
        <f t="shared" ref="J18:L18" si="11">J155</f>
        <v>160</v>
      </c>
      <c r="K18">
        <f t="shared" si="11"/>
        <v>140</v>
      </c>
      <c r="L18">
        <f t="shared" si="11"/>
        <v>120</v>
      </c>
    </row>
    <row r="19" spans="1:12" x14ac:dyDescent="0.25">
      <c r="B19" t="s">
        <v>12</v>
      </c>
      <c r="E19" s="57">
        <v>5.3999999999999999E-2</v>
      </c>
      <c r="F19" s="57">
        <v>5.3999999999999999E-2</v>
      </c>
      <c r="G19" s="57">
        <v>5.3999999999999999E-2</v>
      </c>
      <c r="H19" s="66">
        <v>5.3999999999999999E-2</v>
      </c>
      <c r="I19" s="57">
        <v>5.3999999999999999E-2</v>
      </c>
      <c r="J19" s="57">
        <v>5.3999999999999999E-2</v>
      </c>
      <c r="K19" s="57">
        <v>5.3999999999999999E-2</v>
      </c>
      <c r="L19" s="57">
        <v>5.3999999999999999E-2</v>
      </c>
    </row>
    <row r="20" spans="1:12" x14ac:dyDescent="0.25">
      <c r="B20" t="s">
        <v>89</v>
      </c>
      <c r="E20">
        <f>35</f>
        <v>35</v>
      </c>
      <c r="F20" s="59">
        <f>E76</f>
        <v>35</v>
      </c>
      <c r="G20" s="59">
        <f t="shared" ref="G20:H20" si="12">F76</f>
        <v>35</v>
      </c>
      <c r="H20" s="67">
        <f t="shared" si="12"/>
        <v>30</v>
      </c>
      <c r="I20">
        <f>I165</f>
        <v>30</v>
      </c>
      <c r="J20">
        <f t="shared" ref="J20:L20" si="13">J165</f>
        <v>30</v>
      </c>
      <c r="K20">
        <f t="shared" si="13"/>
        <v>30</v>
      </c>
      <c r="L20">
        <f t="shared" si="13"/>
        <v>30</v>
      </c>
    </row>
    <row r="21" spans="1:12" x14ac:dyDescent="0.25">
      <c r="B21" t="s">
        <v>14</v>
      </c>
      <c r="E21" s="57">
        <v>6.0999999999999999E-2</v>
      </c>
      <c r="F21" s="57">
        <v>6.0999999999999999E-2</v>
      </c>
      <c r="G21" s="57">
        <v>6.0999999999999999E-2</v>
      </c>
      <c r="H21" s="66">
        <v>6.0999999999999999E-2</v>
      </c>
      <c r="I21" s="57">
        <v>6.0999999999999999E-2</v>
      </c>
      <c r="J21" s="57">
        <v>6.0999999999999999E-2</v>
      </c>
      <c r="K21" s="57">
        <v>6.0999999999999999E-2</v>
      </c>
      <c r="L21" s="57">
        <v>6.0999999999999999E-2</v>
      </c>
    </row>
    <row r="22" spans="1:12" x14ac:dyDescent="0.25">
      <c r="B22" t="s">
        <v>117</v>
      </c>
      <c r="E22" s="59">
        <v>0</v>
      </c>
      <c r="F22" s="59">
        <f>E77</f>
        <v>0</v>
      </c>
      <c r="G22" s="59">
        <f t="shared" ref="G22" si="14">F77</f>
        <v>0</v>
      </c>
      <c r="H22" s="67">
        <f ca="1">H183</f>
        <v>0</v>
      </c>
      <c r="I22" s="59">
        <f t="shared" ref="I22:L22" si="15">I183</f>
        <v>0</v>
      </c>
      <c r="J22" s="59">
        <f t="shared" si="15"/>
        <v>0</v>
      </c>
      <c r="K22" s="59">
        <f t="shared" si="15"/>
        <v>0</v>
      </c>
      <c r="L22" s="59">
        <f t="shared" si="15"/>
        <v>0</v>
      </c>
    </row>
    <row r="23" spans="1:12" x14ac:dyDescent="0.25">
      <c r="B23" t="s">
        <v>15</v>
      </c>
      <c r="E23" s="57">
        <v>6.5000000000000002E-2</v>
      </c>
      <c r="F23" s="57">
        <v>6.5000000000000002E-2</v>
      </c>
      <c r="G23" s="57">
        <v>6.5000000000000002E-2</v>
      </c>
      <c r="H23" s="66">
        <v>6.5000000000000002E-2</v>
      </c>
      <c r="I23" s="57">
        <v>6.5000000000000002E-2</v>
      </c>
      <c r="J23" s="57">
        <v>6.5000000000000002E-2</v>
      </c>
      <c r="K23" s="57">
        <v>6.5000000000000002E-2</v>
      </c>
      <c r="L23" s="57">
        <v>6.5000000000000002E-2</v>
      </c>
    </row>
    <row r="24" spans="1:12" x14ac:dyDescent="0.25">
      <c r="B24" t="s">
        <v>16</v>
      </c>
      <c r="E24" s="57">
        <v>3.5000000000000001E-3</v>
      </c>
      <c r="F24" s="57">
        <v>3.5000000000000001E-3</v>
      </c>
      <c r="G24" s="57">
        <v>3.5000000000000001E-3</v>
      </c>
      <c r="H24" s="66">
        <v>3.5000000000000001E-3</v>
      </c>
      <c r="I24" s="57">
        <v>3.5000000000000001E-3</v>
      </c>
      <c r="J24" s="57">
        <v>3.5000000000000001E-3</v>
      </c>
      <c r="K24" s="57">
        <v>3.5000000000000001E-3</v>
      </c>
      <c r="L24" s="57">
        <v>3.5000000000000001E-3</v>
      </c>
    </row>
    <row r="25" spans="1:12" x14ac:dyDescent="0.25">
      <c r="B25" t="s">
        <v>122</v>
      </c>
      <c r="E25" s="19">
        <v>150</v>
      </c>
      <c r="F25" s="19">
        <v>150</v>
      </c>
      <c r="G25" s="19">
        <v>150</v>
      </c>
      <c r="H25" s="69">
        <v>150</v>
      </c>
      <c r="I25" s="19">
        <v>150</v>
      </c>
      <c r="J25" s="19">
        <v>150</v>
      </c>
      <c r="K25" s="19">
        <v>150</v>
      </c>
      <c r="L25" s="19">
        <v>150</v>
      </c>
    </row>
    <row r="26" spans="1:12" x14ac:dyDescent="0.25">
      <c r="B26" t="s">
        <v>113</v>
      </c>
      <c r="E26" s="19">
        <v>60</v>
      </c>
      <c r="F26" s="19">
        <v>60</v>
      </c>
      <c r="G26" s="19">
        <v>60</v>
      </c>
      <c r="H26" s="69">
        <v>60</v>
      </c>
      <c r="I26" s="19">
        <v>60</v>
      </c>
      <c r="J26" s="19">
        <v>60</v>
      </c>
      <c r="K26" s="19">
        <v>60</v>
      </c>
      <c r="L26" s="19">
        <v>60</v>
      </c>
    </row>
    <row r="27" spans="1:12" x14ac:dyDescent="0.25">
      <c r="B27" t="s">
        <v>118</v>
      </c>
      <c r="E27">
        <f>180</f>
        <v>180</v>
      </c>
      <c r="F27" s="59">
        <f>E88</f>
        <v>180</v>
      </c>
      <c r="G27" s="59">
        <f t="shared" ref="G27:H27" si="16">F88</f>
        <v>180</v>
      </c>
      <c r="H27" s="67">
        <f t="shared" si="16"/>
        <v>172</v>
      </c>
      <c r="I27" s="20">
        <f>I236</f>
        <v>172</v>
      </c>
      <c r="J27" s="20">
        <f t="shared" ref="J27:L27" si="17">J236</f>
        <v>172</v>
      </c>
      <c r="K27" s="20">
        <f t="shared" si="17"/>
        <v>172</v>
      </c>
      <c r="L27" s="20">
        <f t="shared" si="17"/>
        <v>172</v>
      </c>
    </row>
    <row r="28" spans="1:12" x14ac:dyDescent="0.25">
      <c r="B28" t="s">
        <v>17</v>
      </c>
      <c r="F28" s="55">
        <f>(F39-E39)/E39</f>
        <v>4.8214285714285682E-2</v>
      </c>
      <c r="G28" s="55">
        <f>(G39-F39)/F39</f>
        <v>3.9182282793867151E-2</v>
      </c>
      <c r="H28" s="66">
        <v>0.04</v>
      </c>
      <c r="I28" s="57">
        <v>4.4999999999999998E-2</v>
      </c>
      <c r="J28" s="57">
        <v>3.5000000000000003E-2</v>
      </c>
      <c r="K28" s="57">
        <v>0.05</v>
      </c>
      <c r="L28" s="57">
        <v>3.2500000000000001E-2</v>
      </c>
    </row>
    <row r="29" spans="1:12" x14ac:dyDescent="0.25">
      <c r="B29" t="s">
        <v>114</v>
      </c>
      <c r="E29" s="63">
        <f>-1*(E51/E49)</f>
        <v>0.3977900552486191</v>
      </c>
      <c r="F29" s="63">
        <f t="shared" ref="F29:G29" si="18">-1*(F51/F49)</f>
        <v>0.35683453237410068</v>
      </c>
      <c r="G29" s="63">
        <f t="shared" si="18"/>
        <v>0.32972322503008422</v>
      </c>
      <c r="H29" s="66">
        <v>0.33</v>
      </c>
      <c r="I29" s="57">
        <v>0.33</v>
      </c>
      <c r="J29" s="57">
        <v>0.33</v>
      </c>
      <c r="K29" s="57">
        <v>0.33</v>
      </c>
      <c r="L29" s="57">
        <v>0.33</v>
      </c>
    </row>
    <row r="31" spans="1:12" x14ac:dyDescent="0.25">
      <c r="A31" t="s">
        <v>19</v>
      </c>
      <c r="B31" s="2" t="s">
        <v>20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4.45" customHeight="1" x14ac:dyDescent="0.25">
      <c r="B32" s="86" t="s">
        <v>18</v>
      </c>
      <c r="C32" s="18"/>
      <c r="D32" s="18"/>
    </row>
    <row r="33" spans="2:12" ht="15.75" thickBot="1" x14ac:dyDescent="0.3">
      <c r="B33" s="86"/>
      <c r="C33" s="18"/>
      <c r="D33" s="18"/>
      <c r="E33" s="3">
        <f>DATE(2022,6,30)</f>
        <v>44742</v>
      </c>
      <c r="F33" s="3">
        <f>EDATE(E33,12)</f>
        <v>45107</v>
      </c>
      <c r="G33" s="3">
        <f t="shared" ref="G33" si="19">EDATE(F33,12)</f>
        <v>45473</v>
      </c>
      <c r="H33" s="4">
        <f t="shared" ref="H33" si="20">EDATE(G33,12)</f>
        <v>45838</v>
      </c>
      <c r="I33" s="4">
        <f t="shared" ref="I33" si="21">EDATE(H33,12)</f>
        <v>46203</v>
      </c>
      <c r="J33" s="4">
        <f t="shared" ref="J33" si="22">EDATE(I33,12)</f>
        <v>46568</v>
      </c>
      <c r="K33" s="4">
        <f t="shared" ref="K33" si="23">EDATE(J33,12)</f>
        <v>46934</v>
      </c>
      <c r="L33" s="4">
        <f t="shared" ref="L33" si="24">EDATE(K33,12)</f>
        <v>47299</v>
      </c>
    </row>
    <row r="35" spans="2:12" x14ac:dyDescent="0.25">
      <c r="B35" s="6" t="s">
        <v>21</v>
      </c>
      <c r="E35" s="19">
        <v>820.4</v>
      </c>
      <c r="F35" s="19">
        <v>889.6</v>
      </c>
      <c r="G35" s="19">
        <v>950.2</v>
      </c>
      <c r="H35" s="65">
        <f>(1+H6)*G35</f>
        <v>1011.963</v>
      </c>
      <c r="I35" s="20">
        <f t="shared" ref="I35:L35" si="25">(1+I6)*H35</f>
        <v>1076.7286320000001</v>
      </c>
      <c r="J35" s="20">
        <f t="shared" si="25"/>
        <v>1148.8694503439999</v>
      </c>
      <c r="K35" s="20">
        <f t="shared" si="25"/>
        <v>1229.2903118680799</v>
      </c>
      <c r="L35" s="20">
        <f t="shared" si="25"/>
        <v>1317.7992143225817</v>
      </c>
    </row>
    <row r="36" spans="2:12" ht="15.75" thickBot="1" x14ac:dyDescent="0.3">
      <c r="B36" s="6" t="s">
        <v>22</v>
      </c>
      <c r="E36" s="19">
        <v>-475.8</v>
      </c>
      <c r="F36" s="19">
        <v>-510.6</v>
      </c>
      <c r="G36" s="19">
        <v>-540.70000000000005</v>
      </c>
      <c r="H36" s="70">
        <f>-(1-H7)*H35</f>
        <v>-581.87872499999992</v>
      </c>
      <c r="I36" s="36">
        <f t="shared" ref="I36:L36" si="26">-(1-I7)*I35</f>
        <v>-619.11896339999998</v>
      </c>
      <c r="J36" s="36">
        <f t="shared" si="26"/>
        <v>-660.59993394779985</v>
      </c>
      <c r="K36" s="36">
        <f t="shared" si="26"/>
        <v>-706.84192932414589</v>
      </c>
      <c r="L36" s="36">
        <f t="shared" si="26"/>
        <v>-757.73454823548445</v>
      </c>
    </row>
    <row r="37" spans="2:12" x14ac:dyDescent="0.25">
      <c r="B37" s="5" t="s">
        <v>23</v>
      </c>
      <c r="E37" s="37">
        <f>SUM(E35:E36)</f>
        <v>344.59999999999997</v>
      </c>
      <c r="F37" s="37">
        <f t="shared" ref="F37:G37" si="27">SUM(F35:F36)</f>
        <v>379</v>
      </c>
      <c r="G37" s="37">
        <f t="shared" si="27"/>
        <v>409.5</v>
      </c>
      <c r="H37" s="71">
        <f t="shared" ref="H37" si="28">SUM(H35:H36)</f>
        <v>430.08427500000005</v>
      </c>
      <c r="I37" s="37">
        <f t="shared" ref="I37" si="29">SUM(I35:I36)</f>
        <v>457.60966860000008</v>
      </c>
      <c r="J37" s="37">
        <f t="shared" ref="J37" si="30">SUM(J35:J36)</f>
        <v>488.26951639620006</v>
      </c>
      <c r="K37" s="37">
        <f t="shared" ref="K37" si="31">SUM(K35:K36)</f>
        <v>522.44838254393403</v>
      </c>
      <c r="L37" s="37">
        <f t="shared" ref="L37" si="32">SUM(L35:L36)</f>
        <v>560.06466608709729</v>
      </c>
    </row>
    <row r="38" spans="2:12" x14ac:dyDescent="0.25">
      <c r="E38" s="20"/>
      <c r="F38" s="20"/>
      <c r="G38" s="20"/>
      <c r="H38" s="65"/>
      <c r="I38" s="20"/>
      <c r="J38" s="20"/>
      <c r="K38" s="20"/>
      <c r="L38" s="20"/>
    </row>
    <row r="39" spans="2:12" x14ac:dyDescent="0.25">
      <c r="B39" s="6" t="s">
        <v>24</v>
      </c>
      <c r="E39" s="19">
        <v>-168</v>
      </c>
      <c r="F39" s="19">
        <v>-176.1</v>
      </c>
      <c r="G39" s="19">
        <v>-183</v>
      </c>
      <c r="H39" s="70">
        <f>(1+H28)*G39</f>
        <v>-190.32</v>
      </c>
      <c r="I39" s="36">
        <f t="shared" ref="I39:L39" si="33">(1+I28)*H39</f>
        <v>-198.88439999999997</v>
      </c>
      <c r="J39" s="36">
        <f t="shared" si="33"/>
        <v>-205.84535399999996</v>
      </c>
      <c r="K39" s="36">
        <f t="shared" si="33"/>
        <v>-216.13762169999995</v>
      </c>
      <c r="L39" s="36">
        <f t="shared" si="33"/>
        <v>-223.16209440524995</v>
      </c>
    </row>
    <row r="40" spans="2:12" x14ac:dyDescent="0.25">
      <c r="B40" s="6" t="s">
        <v>25</v>
      </c>
      <c r="E40" s="19">
        <v>-57.4</v>
      </c>
      <c r="F40" s="19">
        <v>-62.3</v>
      </c>
      <c r="G40" s="19">
        <v>-67.5</v>
      </c>
      <c r="H40" s="70">
        <f>H9*H35*-1</f>
        <v>-70.837410000000006</v>
      </c>
      <c r="I40" s="36">
        <f t="shared" ref="I40:L40" si="34">I9*I35*-1</f>
        <v>-75.371004240000005</v>
      </c>
      <c r="J40" s="36">
        <f t="shared" si="34"/>
        <v>-80.420861524079996</v>
      </c>
      <c r="K40" s="36">
        <f t="shared" si="34"/>
        <v>-86.050321830765597</v>
      </c>
      <c r="L40" s="36">
        <f t="shared" si="34"/>
        <v>-92.245945002580726</v>
      </c>
    </row>
    <row r="41" spans="2:12" ht="15.75" thickBot="1" x14ac:dyDescent="0.3">
      <c r="B41" s="6" t="s">
        <v>26</v>
      </c>
      <c r="E41" s="19">
        <v>-34</v>
      </c>
      <c r="F41" s="19">
        <v>-36.5</v>
      </c>
      <c r="G41" s="19">
        <v>-39.200000000000003</v>
      </c>
      <c r="H41" s="70">
        <f ca="1">H210</f>
        <v>-41.411093318584072</v>
      </c>
      <c r="I41" s="36">
        <f t="shared" ref="I41:L41" ca="1" si="35">I210</f>
        <v>-43.459914192375287</v>
      </c>
      <c r="J41" s="36">
        <f t="shared" ca="1" si="35"/>
        <v>-45.729496249853888</v>
      </c>
      <c r="K41" s="36">
        <f t="shared" ca="1" si="35"/>
        <v>-48.24683361036341</v>
      </c>
      <c r="L41" s="36">
        <f t="shared" ca="1" si="35"/>
        <v>-51.034599993601653</v>
      </c>
    </row>
    <row r="42" spans="2:12" x14ac:dyDescent="0.25">
      <c r="B42" s="5" t="s">
        <v>27</v>
      </c>
      <c r="E42" s="37">
        <f>SUM(E37:E41)</f>
        <v>85.19999999999996</v>
      </c>
      <c r="F42" s="37">
        <f t="shared" ref="F42:G42" si="36">SUM(F37:F41)</f>
        <v>104.10000000000002</v>
      </c>
      <c r="G42" s="37">
        <f t="shared" si="36"/>
        <v>119.8</v>
      </c>
      <c r="H42" s="71">
        <f t="shared" ref="H42" ca="1" si="37">SUM(H37:H41)</f>
        <v>127.51577168141597</v>
      </c>
      <c r="I42" s="37">
        <f t="shared" ref="I42" ca="1" si="38">SUM(I37:I41)</f>
        <v>139.89435016762482</v>
      </c>
      <c r="J42" s="37">
        <f t="shared" ref="J42" ca="1" si="39">SUM(J37:J41)</f>
        <v>156.27380462226623</v>
      </c>
      <c r="K42" s="37">
        <f t="shared" ref="K42" ca="1" si="40">SUM(K37:K41)</f>
        <v>172.01360540280507</v>
      </c>
      <c r="L42" s="37">
        <f t="shared" ref="L42" ca="1" si="41">SUM(L37:L41)</f>
        <v>193.62202668566496</v>
      </c>
    </row>
    <row r="43" spans="2:12" x14ac:dyDescent="0.25">
      <c r="E43" s="20"/>
      <c r="F43" s="20"/>
      <c r="G43" s="20"/>
      <c r="H43" s="65"/>
      <c r="I43" s="20"/>
      <c r="J43" s="20"/>
      <c r="K43" s="20"/>
      <c r="L43" s="20"/>
    </row>
    <row r="44" spans="2:12" x14ac:dyDescent="0.25">
      <c r="B44" s="6" t="s">
        <v>28</v>
      </c>
      <c r="E44" s="19">
        <v>-14.2</v>
      </c>
      <c r="F44" s="19">
        <v>-13.4</v>
      </c>
      <c r="G44" s="19">
        <v>-12.5</v>
      </c>
      <c r="H44" s="65">
        <f ca="1">H196*-1</f>
        <v>-12.09</v>
      </c>
      <c r="I44" s="20">
        <f t="shared" ref="I44:L44" si="42">I196*-1</f>
        <v>-11.01</v>
      </c>
      <c r="J44" s="20">
        <f t="shared" si="42"/>
        <v>-9.93</v>
      </c>
      <c r="K44" s="20">
        <f t="shared" si="42"/>
        <v>-8.85</v>
      </c>
      <c r="L44" s="20">
        <f t="shared" si="42"/>
        <v>-7.77</v>
      </c>
    </row>
    <row r="45" spans="2:12" ht="15.75" thickBot="1" x14ac:dyDescent="0.3">
      <c r="B45" s="6" t="s">
        <v>29</v>
      </c>
      <c r="E45" s="19">
        <v>0.9</v>
      </c>
      <c r="F45" s="19">
        <v>1.3</v>
      </c>
      <c r="G45" s="19">
        <v>2</v>
      </c>
      <c r="H45" s="65">
        <f>H253</f>
        <v>1.2743502554337007</v>
      </c>
      <c r="I45" s="20">
        <f t="shared" ref="I45:L45" si="43">I253</f>
        <v>1.4814297885177143</v>
      </c>
      <c r="J45" s="20">
        <f t="shared" si="43"/>
        <v>1.7303646528318057</v>
      </c>
      <c r="K45" s="20">
        <f t="shared" si="43"/>
        <v>1.9902871391319821</v>
      </c>
      <c r="L45" s="20">
        <f t="shared" si="43"/>
        <v>2.2999890308618767</v>
      </c>
    </row>
    <row r="46" spans="2:12" x14ac:dyDescent="0.25">
      <c r="B46" s="7" t="s">
        <v>30</v>
      </c>
      <c r="E46" s="37">
        <f>SUM(E42:E45)</f>
        <v>71.899999999999963</v>
      </c>
      <c r="F46" s="37">
        <f t="shared" ref="F46:G46" si="44">SUM(F42:F45)</f>
        <v>92.000000000000014</v>
      </c>
      <c r="G46" s="37">
        <f t="shared" si="44"/>
        <v>109.3</v>
      </c>
      <c r="H46" s="71">
        <f t="shared" ref="H46" ca="1" si="45">SUM(H42:H45)</f>
        <v>116.70012193684967</v>
      </c>
      <c r="I46" s="37">
        <f t="shared" ref="I46" ca="1" si="46">SUM(I42:I45)</f>
        <v>130.36577995614255</v>
      </c>
      <c r="J46" s="37">
        <f t="shared" ref="J46" ca="1" si="47">SUM(J42:J45)</f>
        <v>148.07416927509803</v>
      </c>
      <c r="K46" s="37">
        <f t="shared" ref="K46" ca="1" si="48">SUM(K42:K45)</f>
        <v>165.15389254193707</v>
      </c>
      <c r="L46" s="37">
        <f t="shared" ref="L46" ca="1" si="49">SUM(L42:L45)</f>
        <v>188.15201571652682</v>
      </c>
    </row>
    <row r="47" spans="2:12" x14ac:dyDescent="0.25">
      <c r="E47" s="20"/>
      <c r="F47" s="20"/>
      <c r="G47" s="20"/>
      <c r="H47" s="65"/>
      <c r="I47" s="20"/>
      <c r="J47" s="20"/>
      <c r="K47" s="20"/>
      <c r="L47" s="20"/>
    </row>
    <row r="48" spans="2:12" ht="15.75" thickBot="1" x14ac:dyDescent="0.3">
      <c r="B48" s="6" t="s">
        <v>31</v>
      </c>
      <c r="E48" s="19">
        <v>-17.600000000000001</v>
      </c>
      <c r="F48" s="19">
        <v>-22.5</v>
      </c>
      <c r="G48" s="19">
        <v>-26.2</v>
      </c>
      <c r="H48" s="70">
        <f ca="1">H46*H12*-1</f>
        <v>-28.00802926484392</v>
      </c>
      <c r="I48" s="36">
        <f t="shared" ref="I48:L48" ca="1" si="50">I46*I12*-1</f>
        <v>-31.287787189474209</v>
      </c>
      <c r="J48" s="36">
        <f t="shared" ca="1" si="50"/>
        <v>-35.537800626023525</v>
      </c>
      <c r="K48" s="36">
        <f t="shared" ca="1" si="50"/>
        <v>-39.636934210064894</v>
      </c>
      <c r="L48" s="36">
        <f t="shared" ca="1" si="50"/>
        <v>-45.156483771966435</v>
      </c>
    </row>
    <row r="49" spans="1:12" ht="15.75" thickBot="1" x14ac:dyDescent="0.3">
      <c r="B49" s="5" t="s">
        <v>32</v>
      </c>
      <c r="E49" s="84">
        <f>E48+E46</f>
        <v>54.299999999999962</v>
      </c>
      <c r="F49" s="84">
        <f t="shared" ref="F49:G49" si="51">F48+F46</f>
        <v>69.500000000000014</v>
      </c>
      <c r="G49" s="84">
        <f t="shared" si="51"/>
        <v>83.1</v>
      </c>
      <c r="H49" s="85">
        <f t="shared" ref="H49" ca="1" si="52">H48+H46</f>
        <v>88.692092672005742</v>
      </c>
      <c r="I49" s="84">
        <f t="shared" ref="I49" ca="1" si="53">I48+I46</f>
        <v>99.077992766668331</v>
      </c>
      <c r="J49" s="84">
        <f t="shared" ref="J49" ca="1" si="54">J48+J46</f>
        <v>112.5363686490745</v>
      </c>
      <c r="K49" s="84">
        <f t="shared" ref="K49" ca="1" si="55">K48+K46</f>
        <v>125.51695833187217</v>
      </c>
      <c r="L49" s="84">
        <f t="shared" ref="L49" ca="1" si="56">L48+L46</f>
        <v>142.99553194456038</v>
      </c>
    </row>
    <row r="50" spans="1:12" ht="15.75" thickTop="1" x14ac:dyDescent="0.25">
      <c r="E50" s="20"/>
      <c r="F50" s="20"/>
      <c r="G50" s="20"/>
      <c r="H50" s="65"/>
      <c r="I50" s="20"/>
      <c r="J50" s="20"/>
      <c r="K50" s="20"/>
      <c r="L50" s="20"/>
    </row>
    <row r="51" spans="1:12" x14ac:dyDescent="0.25">
      <c r="B51" t="s">
        <v>33</v>
      </c>
      <c r="E51" s="19">
        <v>-21.6</v>
      </c>
      <c r="F51" s="19">
        <v>-24.8</v>
      </c>
      <c r="G51" s="19">
        <v>-27.4</v>
      </c>
      <c r="H51" s="70">
        <f ca="1">H49*-H29</f>
        <v>-29.268390581761896</v>
      </c>
      <c r="I51" s="36">
        <f t="shared" ref="I51:L51" ca="1" si="57">I49*-I29</f>
        <v>-32.695737613000553</v>
      </c>
      <c r="J51" s="36">
        <f t="shared" ca="1" si="57"/>
        <v>-37.137001654194592</v>
      </c>
      <c r="K51" s="36">
        <f t="shared" ca="1" si="57"/>
        <v>-41.420596249517821</v>
      </c>
      <c r="L51" s="36">
        <f t="shared" ca="1" si="57"/>
        <v>-47.188525541704927</v>
      </c>
    </row>
    <row r="52" spans="1:12" x14ac:dyDescent="0.25">
      <c r="E52" s="20"/>
      <c r="F52" s="20"/>
      <c r="G52" s="20"/>
      <c r="H52" s="65"/>
      <c r="I52" s="20"/>
      <c r="J52" s="20"/>
      <c r="K52" s="20"/>
      <c r="L52" s="20"/>
    </row>
    <row r="53" spans="1:12" x14ac:dyDescent="0.25">
      <c r="B53" s="5" t="s">
        <v>34</v>
      </c>
      <c r="E53" s="20">
        <f>SUM(E49:E52)</f>
        <v>32.69999999999996</v>
      </c>
      <c r="F53" s="20">
        <f t="shared" ref="F53:G53" si="58">SUM(F49:F52)</f>
        <v>44.700000000000017</v>
      </c>
      <c r="G53" s="20">
        <f t="shared" si="58"/>
        <v>55.699999999999996</v>
      </c>
      <c r="H53" s="65">
        <f t="shared" ref="H53" ca="1" si="59">SUM(H49:H52)</f>
        <v>59.42370209024385</v>
      </c>
      <c r="I53" s="20">
        <f t="shared" ref="I53" ca="1" si="60">SUM(I49:I52)</f>
        <v>66.382255153667785</v>
      </c>
      <c r="J53" s="20">
        <f t="shared" ref="J53" ca="1" si="61">SUM(J49:J52)</f>
        <v>75.399366994879912</v>
      </c>
      <c r="K53" s="20">
        <f t="shared" ref="K53" ca="1" si="62">SUM(K49:K52)</f>
        <v>84.096362082354347</v>
      </c>
      <c r="L53" s="20">
        <f t="shared" ref="L53" ca="1" si="63">SUM(L49:L52)</f>
        <v>95.80700640285545</v>
      </c>
    </row>
    <row r="56" spans="1:12" x14ac:dyDescent="0.25">
      <c r="A56" t="s">
        <v>19</v>
      </c>
      <c r="B56" s="2" t="s">
        <v>62</v>
      </c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4.45" customHeight="1" x14ac:dyDescent="0.25">
      <c r="B57" s="86" t="s">
        <v>18</v>
      </c>
      <c r="C57" s="18"/>
      <c r="D57" s="18"/>
    </row>
    <row r="58" spans="1:12" ht="15.75" thickBot="1" x14ac:dyDescent="0.3">
      <c r="B58" s="86"/>
      <c r="C58" s="18"/>
      <c r="D58" s="18"/>
      <c r="E58" s="3">
        <f>DATE(2022,6,30)</f>
        <v>44742</v>
      </c>
      <c r="F58" s="3">
        <f>EDATE(E58,12)</f>
        <v>45107</v>
      </c>
      <c r="G58" s="3">
        <f t="shared" ref="G58" si="64">EDATE(F58,12)</f>
        <v>45473</v>
      </c>
      <c r="H58" s="4">
        <f t="shared" ref="H58" si="65">EDATE(G58,12)</f>
        <v>45838</v>
      </c>
      <c r="I58" s="4">
        <f t="shared" ref="I58" si="66">EDATE(H58,12)</f>
        <v>46203</v>
      </c>
      <c r="J58" s="4">
        <f t="shared" ref="J58" si="67">EDATE(I58,12)</f>
        <v>46568</v>
      </c>
      <c r="K58" s="4">
        <f t="shared" ref="K58" si="68">EDATE(J58,12)</f>
        <v>46934</v>
      </c>
      <c r="L58" s="4">
        <f t="shared" ref="L58" si="69">EDATE(K58,12)</f>
        <v>47299</v>
      </c>
    </row>
    <row r="60" spans="1:12" x14ac:dyDescent="0.25">
      <c r="B60" t="s">
        <v>35</v>
      </c>
    </row>
    <row r="61" spans="1:12" x14ac:dyDescent="0.25">
      <c r="B61" s="6" t="s">
        <v>36</v>
      </c>
      <c r="E61" s="19">
        <v>133.6</v>
      </c>
      <c r="F61" s="19">
        <v>127.4</v>
      </c>
      <c r="G61" s="19">
        <v>118.3</v>
      </c>
      <c r="H61" s="65">
        <f ca="1">H124</f>
        <v>137.26922597291181</v>
      </c>
      <c r="I61" s="20">
        <f t="shared" ref="I61:L61" ca="1" si="70">I124</f>
        <v>161.17759526437354</v>
      </c>
      <c r="J61" s="20">
        <f t="shared" ca="1" si="70"/>
        <v>188.70963527025845</v>
      </c>
      <c r="K61" s="20">
        <f t="shared" ca="1" si="70"/>
        <v>215.0767238849557</v>
      </c>
      <c r="L61" s="20">
        <f t="shared" ca="1" si="70"/>
        <v>252.85709509417262</v>
      </c>
    </row>
    <row r="62" spans="1:12" x14ac:dyDescent="0.25">
      <c r="B62" s="6" t="s">
        <v>37</v>
      </c>
      <c r="E62" s="19">
        <v>116.9</v>
      </c>
      <c r="F62" s="19">
        <v>131.6</v>
      </c>
      <c r="G62" s="19">
        <v>145.80000000000001</v>
      </c>
      <c r="H62" s="70">
        <f>(H14/365)*H35</f>
        <v>149.71507397260274</v>
      </c>
      <c r="I62" s="36">
        <f t="shared" ref="I62:L62" si="71">(I14/365)*I35</f>
        <v>153.39695579178084</v>
      </c>
      <c r="J62" s="36">
        <f t="shared" si="71"/>
        <v>160.52696429464109</v>
      </c>
      <c r="K62" s="36">
        <f t="shared" si="71"/>
        <v>175.13177045791824</v>
      </c>
      <c r="L62" s="36">
        <f t="shared" si="71"/>
        <v>187.74125793088837</v>
      </c>
    </row>
    <row r="63" spans="1:12" ht="15.75" thickBot="1" x14ac:dyDescent="0.3">
      <c r="B63" s="6" t="s">
        <v>38</v>
      </c>
      <c r="E63" s="19">
        <v>101.7</v>
      </c>
      <c r="F63" s="19">
        <v>111.9</v>
      </c>
      <c r="G63" s="19">
        <v>120</v>
      </c>
      <c r="H63" s="70">
        <f>-(H15/365)*H36</f>
        <v>127.5350630136986</v>
      </c>
      <c r="I63" s="36">
        <f t="shared" ref="I63:L63" si="72">-(I15/365)*I36</f>
        <v>135.69730704657533</v>
      </c>
      <c r="J63" s="36">
        <f t="shared" si="72"/>
        <v>144.78902661869586</v>
      </c>
      <c r="K63" s="36">
        <f t="shared" si="72"/>
        <v>154.92425848200457</v>
      </c>
      <c r="L63" s="36">
        <f t="shared" si="72"/>
        <v>166.0788050927089</v>
      </c>
    </row>
    <row r="64" spans="1:12" x14ac:dyDescent="0.25">
      <c r="B64" s="5" t="s">
        <v>39</v>
      </c>
      <c r="E64" s="37">
        <f>SUM(E61:E63)</f>
        <v>352.2</v>
      </c>
      <c r="F64" s="37">
        <f t="shared" ref="F64:G64" si="73">SUM(F61:F63)</f>
        <v>370.9</v>
      </c>
      <c r="G64" s="37">
        <f t="shared" si="73"/>
        <v>384.1</v>
      </c>
      <c r="H64" s="71">
        <f t="shared" ref="H64" ca="1" si="74">SUM(H61:H63)</f>
        <v>414.51936295921314</v>
      </c>
      <c r="I64" s="37">
        <f t="shared" ref="I64" ca="1" si="75">SUM(I61:I63)</f>
        <v>450.27185810272977</v>
      </c>
      <c r="J64" s="37">
        <f t="shared" ref="J64" ca="1" si="76">SUM(J61:J63)</f>
        <v>494.02562618359536</v>
      </c>
      <c r="K64" s="37">
        <f t="shared" ref="K64" ca="1" si="77">SUM(K61:K63)</f>
        <v>545.13275282487848</v>
      </c>
      <c r="L64" s="37">
        <f t="shared" ref="L64" ca="1" si="78">SUM(L61:L63)</f>
        <v>606.67715811776986</v>
      </c>
    </row>
    <row r="65" spans="2:12" x14ac:dyDescent="0.25">
      <c r="E65" s="20"/>
      <c r="F65" s="20"/>
      <c r="G65" s="20"/>
      <c r="H65" s="65"/>
      <c r="I65" s="20"/>
      <c r="J65" s="20"/>
      <c r="K65" s="20"/>
      <c r="L65" s="20"/>
    </row>
    <row r="66" spans="2:12" x14ac:dyDescent="0.25">
      <c r="B66" t="s">
        <v>40</v>
      </c>
      <c r="E66" s="20"/>
      <c r="F66" s="20"/>
      <c r="G66" s="20"/>
      <c r="H66" s="65"/>
      <c r="I66" s="20"/>
      <c r="J66" s="20"/>
      <c r="K66" s="20"/>
      <c r="L66" s="20"/>
    </row>
    <row r="67" spans="2:12" x14ac:dyDescent="0.25">
      <c r="B67" s="6" t="s">
        <v>41</v>
      </c>
      <c r="E67" s="19">
        <v>278</v>
      </c>
      <c r="F67" s="19">
        <v>290.5</v>
      </c>
      <c r="G67" s="19">
        <v>304.3</v>
      </c>
      <c r="H67" s="65">
        <f ca="1">H211</f>
        <v>318.54687168141595</v>
      </c>
      <c r="I67" s="20">
        <f t="shared" ref="I67:L67" ca="1" si="79">I211</f>
        <v>334.30703224904067</v>
      </c>
      <c r="J67" s="20">
        <f t="shared" ca="1" si="79"/>
        <v>351.76535576810682</v>
      </c>
      <c r="K67" s="20">
        <f t="shared" ca="1" si="79"/>
        <v>371.12948931048777</v>
      </c>
      <c r="L67" s="20">
        <f t="shared" ca="1" si="79"/>
        <v>392.5738461046281</v>
      </c>
    </row>
    <row r="68" spans="2:12" x14ac:dyDescent="0.25">
      <c r="B68" s="6" t="s">
        <v>42</v>
      </c>
      <c r="E68" s="19">
        <v>112</v>
      </c>
      <c r="F68" s="19">
        <v>112</v>
      </c>
      <c r="G68" s="19">
        <v>112</v>
      </c>
      <c r="H68" s="70">
        <v>112</v>
      </c>
      <c r="I68" s="36">
        <v>112</v>
      </c>
      <c r="J68" s="36">
        <v>112</v>
      </c>
      <c r="K68" s="36">
        <v>112</v>
      </c>
      <c r="L68" s="36">
        <v>112</v>
      </c>
    </row>
    <row r="69" spans="2:12" ht="15.75" thickBot="1" x14ac:dyDescent="0.3">
      <c r="B69" s="6" t="s">
        <v>43</v>
      </c>
      <c r="E69" s="19">
        <v>38</v>
      </c>
      <c r="F69" s="19">
        <v>38</v>
      </c>
      <c r="G69" s="19">
        <v>38</v>
      </c>
      <c r="H69" s="70">
        <v>38</v>
      </c>
      <c r="I69" s="36">
        <v>38</v>
      </c>
      <c r="J69" s="36">
        <v>38</v>
      </c>
      <c r="K69" s="36">
        <v>38</v>
      </c>
      <c r="L69" s="36">
        <v>38</v>
      </c>
    </row>
    <row r="70" spans="2:12" x14ac:dyDescent="0.25">
      <c r="B70" s="5" t="s">
        <v>44</v>
      </c>
      <c r="E70" s="37">
        <f>SUM(E67:E69)</f>
        <v>428</v>
      </c>
      <c r="F70" s="37">
        <f t="shared" ref="F70:G70" si="80">SUM(F67:F69)</f>
        <v>440.5</v>
      </c>
      <c r="G70" s="37">
        <f t="shared" si="80"/>
        <v>454.3</v>
      </c>
      <c r="H70" s="71">
        <f t="shared" ref="H70" ca="1" si="81">SUM(H67:H69)</f>
        <v>468.54687168141595</v>
      </c>
      <c r="I70" s="37">
        <f t="shared" ref="I70" ca="1" si="82">SUM(I67:I69)</f>
        <v>484.30703224904067</v>
      </c>
      <c r="J70" s="37">
        <f t="shared" ref="J70" ca="1" si="83">SUM(J67:J69)</f>
        <v>501.76535576810682</v>
      </c>
      <c r="K70" s="37">
        <f t="shared" ref="K70" ca="1" si="84">SUM(K67:K69)</f>
        <v>521.12948931048777</v>
      </c>
      <c r="L70" s="37">
        <f t="shared" ref="L70" ca="1" si="85">SUM(L67:L69)</f>
        <v>542.57384610462805</v>
      </c>
    </row>
    <row r="71" spans="2:12" ht="15.75" thickBot="1" x14ac:dyDescent="0.3">
      <c r="E71" s="20"/>
      <c r="F71" s="20"/>
      <c r="G71" s="20"/>
      <c r="H71" s="65"/>
      <c r="I71" s="20"/>
      <c r="J71" s="20"/>
      <c r="K71" s="20"/>
      <c r="L71" s="20"/>
    </row>
    <row r="72" spans="2:12" x14ac:dyDescent="0.25">
      <c r="B72" s="5" t="s">
        <v>45</v>
      </c>
      <c r="E72" s="37">
        <f>E70+E64</f>
        <v>780.2</v>
      </c>
      <c r="F72" s="37">
        <f t="shared" ref="F72:L72" si="86">F70+F64</f>
        <v>811.4</v>
      </c>
      <c r="G72" s="37">
        <f t="shared" si="86"/>
        <v>838.40000000000009</v>
      </c>
      <c r="H72" s="71">
        <f t="shared" ca="1" si="86"/>
        <v>883.06623464062909</v>
      </c>
      <c r="I72" s="37">
        <f t="shared" ca="1" si="86"/>
        <v>934.5788903517705</v>
      </c>
      <c r="J72" s="37">
        <f t="shared" ca="1" si="86"/>
        <v>995.79098195170218</v>
      </c>
      <c r="K72" s="37">
        <f t="shared" ca="1" si="86"/>
        <v>1066.2622421353663</v>
      </c>
      <c r="L72" s="37">
        <f t="shared" ca="1" si="86"/>
        <v>1149.251004222398</v>
      </c>
    </row>
    <row r="73" spans="2:12" x14ac:dyDescent="0.25">
      <c r="E73" s="20"/>
      <c r="F73" s="20"/>
      <c r="G73" s="20"/>
      <c r="H73" s="65"/>
      <c r="I73" s="20"/>
      <c r="J73" s="20"/>
      <c r="K73" s="20"/>
      <c r="L73" s="20"/>
    </row>
    <row r="74" spans="2:12" x14ac:dyDescent="0.25">
      <c r="B74" t="s">
        <v>46</v>
      </c>
      <c r="E74" s="20"/>
      <c r="F74" s="20"/>
      <c r="G74" s="20"/>
      <c r="H74" s="65"/>
      <c r="I74" s="20"/>
      <c r="J74" s="20"/>
      <c r="K74" s="20"/>
      <c r="L74" s="20"/>
    </row>
    <row r="75" spans="2:12" x14ac:dyDescent="0.25">
      <c r="B75" s="6" t="s">
        <v>47</v>
      </c>
      <c r="E75" s="19">
        <v>57.4</v>
      </c>
      <c r="F75" s="19">
        <v>63</v>
      </c>
      <c r="G75" s="19">
        <v>66.7</v>
      </c>
      <c r="H75" s="65">
        <f>-(H16/365)*H36</f>
        <v>71.738472945205459</v>
      </c>
      <c r="I75" s="20">
        <f t="shared" ref="I75:L75" si="87">-(I16/365)*I36</f>
        <v>76.329735213698626</v>
      </c>
      <c r="J75" s="20">
        <f t="shared" si="87"/>
        <v>81.443827473016412</v>
      </c>
      <c r="K75" s="20">
        <f t="shared" si="87"/>
        <v>87.144895396127566</v>
      </c>
      <c r="L75" s="20">
        <f t="shared" si="87"/>
        <v>93.419327864648764</v>
      </c>
    </row>
    <row r="76" spans="2:12" x14ac:dyDescent="0.25">
      <c r="B76" s="6" t="s">
        <v>48</v>
      </c>
      <c r="E76" s="19">
        <v>35</v>
      </c>
      <c r="F76" s="19">
        <v>35</v>
      </c>
      <c r="G76" s="19">
        <v>30</v>
      </c>
      <c r="H76" s="65">
        <f>H167</f>
        <v>30</v>
      </c>
      <c r="I76" s="20">
        <f t="shared" ref="I76:L76" si="88">I167</f>
        <v>30</v>
      </c>
      <c r="J76" s="20">
        <f t="shared" si="88"/>
        <v>30</v>
      </c>
      <c r="K76" s="20">
        <f t="shared" si="88"/>
        <v>30</v>
      </c>
      <c r="L76" s="20">
        <f t="shared" si="88"/>
        <v>30</v>
      </c>
    </row>
    <row r="77" spans="2:12" x14ac:dyDescent="0.25">
      <c r="B77" s="6" t="s">
        <v>53</v>
      </c>
      <c r="E77" s="19">
        <v>0</v>
      </c>
      <c r="F77" s="19">
        <v>0</v>
      </c>
      <c r="G77" s="19">
        <v>0</v>
      </c>
      <c r="H77" s="65"/>
      <c r="I77" s="20"/>
      <c r="J77" s="20"/>
      <c r="K77" s="20"/>
      <c r="L77" s="20"/>
    </row>
    <row r="78" spans="2:12" ht="15.75" thickBot="1" x14ac:dyDescent="0.3">
      <c r="B78" s="6" t="s">
        <v>49</v>
      </c>
      <c r="E78" s="19">
        <v>2.9</v>
      </c>
      <c r="F78" s="19">
        <v>3.8</v>
      </c>
      <c r="G78" s="19">
        <v>4.4000000000000004</v>
      </c>
      <c r="H78" s="65">
        <f ca="1">H134</f>
        <v>4.6040596051798222</v>
      </c>
      <c r="I78" s="20">
        <f t="shared" ref="I78:L78" ca="1" si="89">I134</f>
        <v>5.1431978941601439</v>
      </c>
      <c r="J78" s="20">
        <f t="shared" ca="1" si="89"/>
        <v>5.8418302398942776</v>
      </c>
      <c r="K78" s="20">
        <f t="shared" ca="1" si="89"/>
        <v>6.5156604180928586</v>
      </c>
      <c r="L78" s="20">
        <f t="shared" ca="1" si="89"/>
        <v>7.4229836337479069</v>
      </c>
    </row>
    <row r="79" spans="2:12" x14ac:dyDescent="0.25">
      <c r="B79" s="5" t="s">
        <v>50</v>
      </c>
      <c r="E79" s="37">
        <f>SUM(E75:E78)</f>
        <v>95.300000000000011</v>
      </c>
      <c r="F79" s="37">
        <f t="shared" ref="F79:G79" si="90">SUM(F75:F78)</f>
        <v>101.8</v>
      </c>
      <c r="G79" s="37">
        <f t="shared" si="90"/>
        <v>101.10000000000001</v>
      </c>
      <c r="H79" s="71">
        <f t="shared" ref="H79" ca="1" si="91">SUM(H75:H78)</f>
        <v>106.34253255038529</v>
      </c>
      <c r="I79" s="37">
        <f t="shared" ref="I79" ca="1" si="92">SUM(I75:I78)</f>
        <v>111.47293310785876</v>
      </c>
      <c r="J79" s="37">
        <f t="shared" ref="J79" ca="1" si="93">SUM(J75:J78)</f>
        <v>117.28565771291069</v>
      </c>
      <c r="K79" s="37">
        <f t="shared" ref="K79" ca="1" si="94">SUM(K75:K78)</f>
        <v>123.66055581422043</v>
      </c>
      <c r="L79" s="37">
        <f t="shared" ref="L79" ca="1" si="95">SUM(L75:L78)</f>
        <v>130.84231149839667</v>
      </c>
    </row>
    <row r="80" spans="2:12" x14ac:dyDescent="0.25">
      <c r="E80" s="20"/>
      <c r="F80" s="20"/>
      <c r="G80" s="20"/>
      <c r="H80" s="65"/>
      <c r="I80" s="20"/>
      <c r="J80" s="20"/>
      <c r="K80" s="20"/>
      <c r="L80" s="20"/>
    </row>
    <row r="81" spans="2:12" x14ac:dyDescent="0.25">
      <c r="B81" t="s">
        <v>51</v>
      </c>
      <c r="E81" s="20"/>
      <c r="F81" s="20"/>
      <c r="G81" s="20"/>
      <c r="H81" s="65"/>
      <c r="I81" s="20"/>
      <c r="J81" s="20"/>
      <c r="K81" s="20"/>
      <c r="L81" s="20"/>
    </row>
    <row r="82" spans="2:12" ht="15.75" thickBot="1" x14ac:dyDescent="0.3">
      <c r="B82" s="6" t="s">
        <v>52</v>
      </c>
      <c r="E82" s="19">
        <v>240</v>
      </c>
      <c r="F82" s="19">
        <v>220</v>
      </c>
      <c r="G82" s="19">
        <v>200</v>
      </c>
      <c r="H82" s="65">
        <f>H157</f>
        <v>180</v>
      </c>
      <c r="I82" s="20">
        <f t="shared" ref="I82:L82" si="96">I157</f>
        <v>160</v>
      </c>
      <c r="J82" s="20">
        <f t="shared" si="96"/>
        <v>140</v>
      </c>
      <c r="K82" s="20">
        <f t="shared" si="96"/>
        <v>120</v>
      </c>
      <c r="L82" s="20">
        <f t="shared" si="96"/>
        <v>100</v>
      </c>
    </row>
    <row r="83" spans="2:12" x14ac:dyDescent="0.25">
      <c r="B83" t="s">
        <v>54</v>
      </c>
      <c r="E83" s="37">
        <f>SUM(E82)</f>
        <v>240</v>
      </c>
      <c r="F83" s="37">
        <f t="shared" ref="F83:G83" si="97">SUM(F82)</f>
        <v>220</v>
      </c>
      <c r="G83" s="37">
        <f t="shared" si="97"/>
        <v>200</v>
      </c>
      <c r="H83" s="71">
        <f t="shared" ref="H83" si="98">SUM(H82)</f>
        <v>180</v>
      </c>
      <c r="I83" s="37">
        <f t="shared" ref="I83" si="99">SUM(I82)</f>
        <v>160</v>
      </c>
      <c r="J83" s="37">
        <f t="shared" ref="J83" si="100">SUM(J82)</f>
        <v>140</v>
      </c>
      <c r="K83" s="37">
        <f t="shared" ref="K83" si="101">SUM(K82)</f>
        <v>120</v>
      </c>
      <c r="L83" s="37">
        <f t="shared" ref="L83" si="102">SUM(L82)</f>
        <v>100</v>
      </c>
    </row>
    <row r="84" spans="2:12" ht="15.75" thickBot="1" x14ac:dyDescent="0.3">
      <c r="E84" s="20"/>
      <c r="F84" s="20"/>
      <c r="G84" s="20"/>
      <c r="H84" s="65"/>
      <c r="I84" s="20"/>
      <c r="J84" s="20"/>
      <c r="K84" s="20"/>
      <c r="L84" s="20"/>
    </row>
    <row r="85" spans="2:12" x14ac:dyDescent="0.25">
      <c r="B85" t="s">
        <v>119</v>
      </c>
      <c r="E85" s="37">
        <f>E83+E79</f>
        <v>335.3</v>
      </c>
      <c r="F85" s="37">
        <f t="shared" ref="F85:L85" si="103">F83+F79</f>
        <v>321.8</v>
      </c>
      <c r="G85" s="37">
        <f t="shared" si="103"/>
        <v>301.10000000000002</v>
      </c>
      <c r="H85" s="71">
        <f t="shared" ca="1" si="103"/>
        <v>286.34253255038527</v>
      </c>
      <c r="I85" s="37">
        <f t="shared" ca="1" si="103"/>
        <v>271.47293310785875</v>
      </c>
      <c r="J85" s="37">
        <f t="shared" ca="1" si="103"/>
        <v>257.28565771291068</v>
      </c>
      <c r="K85" s="37">
        <f t="shared" ca="1" si="103"/>
        <v>243.66055581422043</v>
      </c>
      <c r="L85" s="37">
        <f t="shared" ca="1" si="103"/>
        <v>230.84231149839667</v>
      </c>
    </row>
    <row r="86" spans="2:12" x14ac:dyDescent="0.25">
      <c r="E86" s="20"/>
      <c r="F86" s="20"/>
      <c r="G86" s="20"/>
      <c r="H86" s="65"/>
      <c r="I86" s="20"/>
      <c r="J86" s="20"/>
      <c r="K86" s="20"/>
      <c r="L86" s="20"/>
    </row>
    <row r="87" spans="2:12" x14ac:dyDescent="0.25">
      <c r="B87" t="s">
        <v>55</v>
      </c>
      <c r="E87" s="20"/>
      <c r="F87" s="20"/>
      <c r="G87" s="20"/>
      <c r="H87" s="65"/>
      <c r="I87" s="20"/>
      <c r="J87" s="20"/>
      <c r="K87" s="20"/>
      <c r="L87" s="20"/>
    </row>
    <row r="88" spans="2:12" x14ac:dyDescent="0.25">
      <c r="B88" s="6" t="s">
        <v>56</v>
      </c>
      <c r="E88" s="19">
        <v>180</v>
      </c>
      <c r="F88" s="19">
        <v>180</v>
      </c>
      <c r="G88" s="19">
        <v>172</v>
      </c>
      <c r="H88" s="65">
        <f>H236</f>
        <v>172</v>
      </c>
      <c r="I88" s="20">
        <f t="shared" ref="I88:L88" si="104">I236</f>
        <v>172</v>
      </c>
      <c r="J88" s="20">
        <f t="shared" si="104"/>
        <v>172</v>
      </c>
      <c r="K88" s="20">
        <f t="shared" si="104"/>
        <v>172</v>
      </c>
      <c r="L88" s="20">
        <f t="shared" si="104"/>
        <v>172</v>
      </c>
    </row>
    <row r="89" spans="2:12" ht="15.75" thickBot="1" x14ac:dyDescent="0.3">
      <c r="B89" s="6" t="s">
        <v>57</v>
      </c>
      <c r="E89" s="19">
        <v>264.89999999999998</v>
      </c>
      <c r="F89" s="19">
        <v>309.60000000000002</v>
      </c>
      <c r="G89" s="19">
        <v>365.3</v>
      </c>
      <c r="H89" s="65">
        <f ca="1">H241</f>
        <v>424.72370209024382</v>
      </c>
      <c r="I89" s="20">
        <f t="shared" ref="I89:L89" ca="1" si="105">I241</f>
        <v>491.10595724391158</v>
      </c>
      <c r="J89" s="20">
        <f t="shared" ca="1" si="105"/>
        <v>566.50532423879145</v>
      </c>
      <c r="K89" s="20">
        <f t="shared" ca="1" si="105"/>
        <v>650.60168632114573</v>
      </c>
      <c r="L89" s="20">
        <f t="shared" ca="1" si="105"/>
        <v>746.40869272400118</v>
      </c>
    </row>
    <row r="90" spans="2:12" x14ac:dyDescent="0.25">
      <c r="B90" t="s">
        <v>58</v>
      </c>
      <c r="E90" s="37">
        <f>SUM(E88:E89)</f>
        <v>444.9</v>
      </c>
      <c r="F90" s="37">
        <f t="shared" ref="F90:G90" si="106">SUM(F88:F89)</f>
        <v>489.6</v>
      </c>
      <c r="G90" s="37">
        <f t="shared" si="106"/>
        <v>537.29999999999995</v>
      </c>
      <c r="H90" s="71">
        <f t="shared" ref="H90" ca="1" si="107">SUM(H88:H89)</f>
        <v>596.72370209024382</v>
      </c>
      <c r="I90" s="37">
        <f t="shared" ref="I90" ca="1" si="108">SUM(I88:I89)</f>
        <v>663.10595724391158</v>
      </c>
      <c r="J90" s="37">
        <f t="shared" ref="J90" ca="1" si="109">SUM(J88:J89)</f>
        <v>738.50532423879145</v>
      </c>
      <c r="K90" s="37">
        <f t="shared" ref="K90" ca="1" si="110">SUM(K88:K89)</f>
        <v>822.60168632114573</v>
      </c>
      <c r="L90" s="37">
        <f t="shared" ref="L90" ca="1" si="111">SUM(L88:L89)</f>
        <v>918.40869272400118</v>
      </c>
    </row>
    <row r="91" spans="2:12" ht="15.75" thickBot="1" x14ac:dyDescent="0.3">
      <c r="E91" s="20"/>
      <c r="F91" s="20"/>
      <c r="G91" s="20"/>
      <c r="H91" s="65"/>
      <c r="I91" s="20"/>
      <c r="J91" s="20"/>
      <c r="K91" s="20"/>
      <c r="L91" s="20"/>
    </row>
    <row r="92" spans="2:12" x14ac:dyDescent="0.25">
      <c r="B92" t="s">
        <v>59</v>
      </c>
      <c r="E92" s="37">
        <f>E90+E85</f>
        <v>780.2</v>
      </c>
      <c r="F92" s="37">
        <f t="shared" ref="F92:L92" si="112">F90+F85</f>
        <v>811.40000000000009</v>
      </c>
      <c r="G92" s="37">
        <f t="shared" si="112"/>
        <v>838.4</v>
      </c>
      <c r="H92" s="71">
        <f t="shared" ca="1" si="112"/>
        <v>883.06623464062909</v>
      </c>
      <c r="I92" s="37">
        <f t="shared" ca="1" si="112"/>
        <v>934.57889035177027</v>
      </c>
      <c r="J92" s="37">
        <f t="shared" ca="1" si="112"/>
        <v>995.79098195170218</v>
      </c>
      <c r="K92" s="37">
        <f t="shared" ca="1" si="112"/>
        <v>1066.2622421353663</v>
      </c>
      <c r="L92" s="37">
        <f t="shared" ca="1" si="112"/>
        <v>1149.2510042223978</v>
      </c>
    </row>
    <row r="94" spans="2:12" x14ac:dyDescent="0.25">
      <c r="B94" t="s">
        <v>60</v>
      </c>
      <c r="E94">
        <f>E72-E92</f>
        <v>0</v>
      </c>
      <c r="F94">
        <f t="shared" ref="F94:L94" si="113">F72-F92</f>
        <v>0</v>
      </c>
      <c r="G94">
        <f t="shared" si="113"/>
        <v>0</v>
      </c>
      <c r="H94" s="17">
        <f t="shared" ca="1" si="113"/>
        <v>0</v>
      </c>
      <c r="I94" s="17">
        <f t="shared" ca="1" si="113"/>
        <v>0</v>
      </c>
      <c r="J94" s="17">
        <f t="shared" ca="1" si="113"/>
        <v>0</v>
      </c>
      <c r="K94" s="17">
        <f t="shared" ca="1" si="113"/>
        <v>0</v>
      </c>
      <c r="L94" s="17">
        <f t="shared" ca="1" si="113"/>
        <v>0</v>
      </c>
    </row>
    <row r="97" spans="1:12" x14ac:dyDescent="0.25">
      <c r="A97" t="s">
        <v>19</v>
      </c>
      <c r="B97" s="2" t="s">
        <v>61</v>
      </c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4.45" customHeight="1" x14ac:dyDescent="0.25">
      <c r="B98" s="86" t="s">
        <v>18</v>
      </c>
      <c r="C98" s="18"/>
      <c r="D98" s="18"/>
    </row>
    <row r="99" spans="1:12" ht="15.75" thickBot="1" x14ac:dyDescent="0.3">
      <c r="B99" s="86"/>
      <c r="C99" s="18"/>
      <c r="D99" s="18"/>
      <c r="E99" s="3">
        <f>DATE(2022,6,30)</f>
        <v>44742</v>
      </c>
      <c r="F99" s="3">
        <f>EDATE(E99,12)</f>
        <v>45107</v>
      </c>
      <c r="G99" s="3">
        <f t="shared" ref="G99" si="114">EDATE(F99,12)</f>
        <v>45473</v>
      </c>
      <c r="H99" s="4">
        <f t="shared" ref="H99" si="115">EDATE(G99,12)</f>
        <v>45838</v>
      </c>
      <c r="I99" s="4">
        <f t="shared" ref="I99" si="116">EDATE(H99,12)</f>
        <v>46203</v>
      </c>
      <c r="J99" s="4">
        <f t="shared" ref="J99" si="117">EDATE(I99,12)</f>
        <v>46568</v>
      </c>
      <c r="K99" s="4">
        <f t="shared" ref="K99" si="118">EDATE(J99,12)</f>
        <v>46934</v>
      </c>
      <c r="L99" s="4">
        <f t="shared" ref="L99" si="119">EDATE(K99,12)</f>
        <v>47299</v>
      </c>
    </row>
    <row r="101" spans="1:12" x14ac:dyDescent="0.25">
      <c r="B101" t="s">
        <v>32</v>
      </c>
      <c r="E101" s="20">
        <f>E49</f>
        <v>54.299999999999962</v>
      </c>
      <c r="F101" s="20">
        <f t="shared" ref="F101:L101" si="120">F49</f>
        <v>69.500000000000014</v>
      </c>
      <c r="G101" s="20">
        <f t="shared" si="120"/>
        <v>83.1</v>
      </c>
      <c r="H101" s="65">
        <f t="shared" ca="1" si="120"/>
        <v>88.692092672005742</v>
      </c>
      <c r="I101" s="20">
        <f t="shared" ca="1" si="120"/>
        <v>99.077992766668331</v>
      </c>
      <c r="J101" s="20">
        <f t="shared" ca="1" si="120"/>
        <v>112.5363686490745</v>
      </c>
      <c r="K101" s="20">
        <f t="shared" ca="1" si="120"/>
        <v>125.51695833187217</v>
      </c>
      <c r="L101" s="20">
        <f t="shared" ca="1" si="120"/>
        <v>142.99553194456038</v>
      </c>
    </row>
    <row r="102" spans="1:12" x14ac:dyDescent="0.25">
      <c r="B102" t="s">
        <v>63</v>
      </c>
      <c r="E102" s="20">
        <f>E41*-1</f>
        <v>34</v>
      </c>
      <c r="F102" s="20">
        <f t="shared" ref="F102:L102" si="121">F41*-1</f>
        <v>36.5</v>
      </c>
      <c r="G102" s="20">
        <f t="shared" si="121"/>
        <v>39.200000000000003</v>
      </c>
      <c r="H102" s="65">
        <f t="shared" ca="1" si="121"/>
        <v>41.411093318584072</v>
      </c>
      <c r="I102" s="20">
        <f t="shared" ca="1" si="121"/>
        <v>43.459914192375287</v>
      </c>
      <c r="J102" s="20">
        <f t="shared" ca="1" si="121"/>
        <v>45.729496249853888</v>
      </c>
      <c r="K102" s="20">
        <f t="shared" ca="1" si="121"/>
        <v>48.24683361036341</v>
      </c>
      <c r="L102" s="20">
        <f t="shared" ca="1" si="121"/>
        <v>51.034599993601653</v>
      </c>
    </row>
    <row r="103" spans="1:12" x14ac:dyDescent="0.25">
      <c r="E103" s="20"/>
      <c r="F103" s="20"/>
      <c r="G103" s="20"/>
      <c r="H103" s="65"/>
      <c r="I103" s="20"/>
      <c r="J103" s="20"/>
      <c r="K103" s="20"/>
      <c r="L103" s="20"/>
    </row>
    <row r="104" spans="1:12" x14ac:dyDescent="0.25">
      <c r="B104" t="s">
        <v>64</v>
      </c>
      <c r="E104" s="20"/>
      <c r="F104" s="20"/>
      <c r="G104" s="20"/>
      <c r="H104" s="65"/>
      <c r="I104" s="20"/>
      <c r="J104" s="20"/>
      <c r="K104" s="20"/>
      <c r="L104" s="20"/>
    </row>
    <row r="105" spans="1:12" x14ac:dyDescent="0.25">
      <c r="B105" s="6" t="s">
        <v>65</v>
      </c>
      <c r="E105" s="19">
        <v>-10.4</v>
      </c>
      <c r="F105" s="20">
        <f>E62-F62</f>
        <v>-14.699999999999989</v>
      </c>
      <c r="G105" s="20">
        <f t="shared" ref="G105:L105" si="122">F62-G62</f>
        <v>-14.200000000000017</v>
      </c>
      <c r="H105" s="65">
        <f t="shared" si="122"/>
        <v>-3.9150739726027268</v>
      </c>
      <c r="I105" s="20">
        <f t="shared" si="122"/>
        <v>-3.681881819178102</v>
      </c>
      <c r="J105" s="20">
        <f t="shared" si="122"/>
        <v>-7.1300085028602496</v>
      </c>
      <c r="K105" s="20">
        <f t="shared" si="122"/>
        <v>-14.604806163277146</v>
      </c>
      <c r="L105" s="20">
        <f t="shared" si="122"/>
        <v>-12.60948747297013</v>
      </c>
    </row>
    <row r="106" spans="1:12" x14ac:dyDescent="0.25">
      <c r="B106" s="6" t="s">
        <v>66</v>
      </c>
      <c r="E106" s="19">
        <v>-7.7</v>
      </c>
      <c r="F106" s="20">
        <f>E63-F63</f>
        <v>-10.200000000000003</v>
      </c>
      <c r="G106" s="20">
        <f t="shared" ref="G106:L106" si="123">F63-G63</f>
        <v>-8.0999999999999943</v>
      </c>
      <c r="H106" s="65">
        <f t="shared" si="123"/>
        <v>-7.5350630136986041</v>
      </c>
      <c r="I106" s="20">
        <f t="shared" si="123"/>
        <v>-8.1622440328767283</v>
      </c>
      <c r="J106" s="20">
        <f t="shared" si="123"/>
        <v>-9.0917195721205246</v>
      </c>
      <c r="K106" s="20">
        <f t="shared" si="123"/>
        <v>-10.135231863308718</v>
      </c>
      <c r="L106" s="20">
        <f t="shared" si="123"/>
        <v>-11.15454661070433</v>
      </c>
    </row>
    <row r="107" spans="1:12" x14ac:dyDescent="0.25">
      <c r="B107" s="6" t="s">
        <v>67</v>
      </c>
      <c r="E107" s="19">
        <v>3.7</v>
      </c>
      <c r="F107" s="20">
        <f>F75-E75</f>
        <v>5.6000000000000014</v>
      </c>
      <c r="G107" s="20">
        <f t="shared" ref="G107:L107" si="124">G75-F75</f>
        <v>3.7000000000000028</v>
      </c>
      <c r="H107" s="65">
        <f t="shared" si="124"/>
        <v>5.0384729452054557</v>
      </c>
      <c r="I107" s="20">
        <f t="shared" si="124"/>
        <v>4.5912622684931677</v>
      </c>
      <c r="J107" s="20">
        <f t="shared" si="124"/>
        <v>5.1140922593177862</v>
      </c>
      <c r="K107" s="20">
        <f t="shared" si="124"/>
        <v>5.7010679231111538</v>
      </c>
      <c r="L107" s="20">
        <f t="shared" si="124"/>
        <v>6.2744324685211978</v>
      </c>
    </row>
    <row r="108" spans="1:12" ht="15.75" thickBot="1" x14ac:dyDescent="0.3">
      <c r="B108" s="6" t="s">
        <v>68</v>
      </c>
      <c r="E108" s="19">
        <v>0.6</v>
      </c>
      <c r="F108" s="20">
        <f>F78-E78</f>
        <v>0.89999999999999991</v>
      </c>
      <c r="G108" s="20">
        <f t="shared" ref="G108:L108" si="125">G78-F78</f>
        <v>0.60000000000000053</v>
      </c>
      <c r="H108" s="65">
        <f t="shared" ca="1" si="125"/>
        <v>0.2040596051798218</v>
      </c>
      <c r="I108" s="20">
        <f t="shared" ca="1" si="125"/>
        <v>0.53913828898032179</v>
      </c>
      <c r="J108" s="20">
        <f t="shared" ca="1" si="125"/>
        <v>0.69863234573413369</v>
      </c>
      <c r="K108" s="20">
        <f t="shared" ca="1" si="125"/>
        <v>0.67383017819858093</v>
      </c>
      <c r="L108" s="20">
        <f t="shared" ca="1" si="125"/>
        <v>0.90732321565504837</v>
      </c>
    </row>
    <row r="109" spans="1:12" x14ac:dyDescent="0.25">
      <c r="B109" s="5" t="s">
        <v>69</v>
      </c>
      <c r="E109" s="37">
        <f>SUM(E101:E108)</f>
        <v>74.499999999999943</v>
      </c>
      <c r="F109" s="37">
        <f t="shared" ref="F109:L109" si="126">SUM(F101:F108)</f>
        <v>87.600000000000023</v>
      </c>
      <c r="G109" s="37">
        <f t="shared" si="126"/>
        <v>104.29999999999998</v>
      </c>
      <c r="H109" s="71">
        <f t="shared" ca="1" si="126"/>
        <v>123.89558155467377</v>
      </c>
      <c r="I109" s="37">
        <f t="shared" ca="1" si="126"/>
        <v>135.82418166446229</v>
      </c>
      <c r="J109" s="37">
        <f t="shared" ca="1" si="126"/>
        <v>147.85686142899951</v>
      </c>
      <c r="K109" s="37">
        <f t="shared" ca="1" si="126"/>
        <v>155.39865201695946</v>
      </c>
      <c r="L109" s="37">
        <f t="shared" ca="1" si="126"/>
        <v>177.44785353866385</v>
      </c>
    </row>
    <row r="110" spans="1:12" x14ac:dyDescent="0.25">
      <c r="E110" s="20"/>
      <c r="F110" s="20"/>
      <c r="G110" s="20"/>
      <c r="H110" s="65"/>
      <c r="I110" s="20"/>
      <c r="J110" s="20"/>
      <c r="K110" s="20"/>
      <c r="L110" s="20"/>
    </row>
    <row r="111" spans="1:12" x14ac:dyDescent="0.25">
      <c r="B111" t="s">
        <v>70</v>
      </c>
      <c r="E111" s="20"/>
      <c r="F111" s="20"/>
      <c r="G111" s="20"/>
      <c r="H111" s="65"/>
      <c r="I111" s="20"/>
      <c r="J111" s="20"/>
      <c r="K111" s="20"/>
      <c r="L111" s="20"/>
    </row>
    <row r="112" spans="1:12" ht="15.75" thickBot="1" x14ac:dyDescent="0.3">
      <c r="B112" s="6" t="s">
        <v>71</v>
      </c>
      <c r="E112" s="19">
        <v>-44</v>
      </c>
      <c r="F112" s="19">
        <v>-49</v>
      </c>
      <c r="G112" s="19">
        <v>-53</v>
      </c>
      <c r="H112" s="65">
        <f>H209*-1</f>
        <v>-55.657964999999997</v>
      </c>
      <c r="I112" s="20">
        <f t="shared" ref="I112:L112" si="127">I209*-1</f>
        <v>-59.220074760000003</v>
      </c>
      <c r="J112" s="20">
        <f t="shared" si="127"/>
        <v>-63.187819768919994</v>
      </c>
      <c r="K112" s="20">
        <f t="shared" si="127"/>
        <v>-67.610967152744394</v>
      </c>
      <c r="L112" s="20">
        <f t="shared" si="127"/>
        <v>-72.478956787741993</v>
      </c>
    </row>
    <row r="113" spans="1:12" x14ac:dyDescent="0.25">
      <c r="B113" s="5" t="s">
        <v>72</v>
      </c>
      <c r="E113" s="37">
        <f>SUM(E112)</f>
        <v>-44</v>
      </c>
      <c r="F113" s="37">
        <f t="shared" ref="F113:L113" si="128">SUM(F112)</f>
        <v>-49</v>
      </c>
      <c r="G113" s="37">
        <f t="shared" si="128"/>
        <v>-53</v>
      </c>
      <c r="H113" s="71">
        <f t="shared" si="128"/>
        <v>-55.657964999999997</v>
      </c>
      <c r="I113" s="37">
        <f t="shared" si="128"/>
        <v>-59.220074760000003</v>
      </c>
      <c r="J113" s="37">
        <f t="shared" si="128"/>
        <v>-63.187819768919994</v>
      </c>
      <c r="K113" s="37">
        <f t="shared" si="128"/>
        <v>-67.610967152744394</v>
      </c>
      <c r="L113" s="37">
        <f t="shared" si="128"/>
        <v>-72.478956787741993</v>
      </c>
    </row>
    <row r="114" spans="1:12" x14ac:dyDescent="0.25">
      <c r="E114" s="20"/>
      <c r="F114" s="20"/>
      <c r="G114" s="20"/>
      <c r="H114" s="65"/>
      <c r="I114" s="20"/>
      <c r="J114" s="20"/>
      <c r="K114" s="20"/>
      <c r="L114" s="20"/>
    </row>
    <row r="115" spans="1:12" x14ac:dyDescent="0.25">
      <c r="B115" t="s">
        <v>73</v>
      </c>
      <c r="E115" s="20"/>
      <c r="F115" s="20"/>
      <c r="G115" s="20"/>
      <c r="H115" s="65"/>
      <c r="I115" s="20"/>
      <c r="J115" s="20"/>
      <c r="K115" s="20"/>
      <c r="L115" s="20"/>
    </row>
    <row r="116" spans="1:12" x14ac:dyDescent="0.25">
      <c r="B116" s="6" t="s">
        <v>74</v>
      </c>
      <c r="E116" s="19">
        <v>-20</v>
      </c>
      <c r="F116" s="36">
        <f>F82-E82</f>
        <v>-20</v>
      </c>
      <c r="G116" s="36">
        <f>G82-F82</f>
        <v>-20</v>
      </c>
      <c r="H116" s="65">
        <f>H156</f>
        <v>-20</v>
      </c>
      <c r="I116" s="20">
        <f t="shared" ref="I116:L116" si="129">I156</f>
        <v>-20</v>
      </c>
      <c r="J116" s="20">
        <f t="shared" si="129"/>
        <v>-20</v>
      </c>
      <c r="K116" s="20">
        <f t="shared" si="129"/>
        <v>-20</v>
      </c>
      <c r="L116" s="20">
        <f t="shared" si="129"/>
        <v>-20</v>
      </c>
    </row>
    <row r="117" spans="1:12" x14ac:dyDescent="0.25">
      <c r="B117" s="6" t="s">
        <v>75</v>
      </c>
      <c r="E117" s="19">
        <v>0</v>
      </c>
      <c r="F117" s="36">
        <f>F76-E76</f>
        <v>0</v>
      </c>
      <c r="G117" s="36">
        <f>G76-F76</f>
        <v>-5</v>
      </c>
      <c r="H117" s="65">
        <f>H166</f>
        <v>0</v>
      </c>
      <c r="I117" s="20">
        <f t="shared" ref="I117:L117" si="130">I166</f>
        <v>0</v>
      </c>
      <c r="J117" s="20">
        <f t="shared" si="130"/>
        <v>0</v>
      </c>
      <c r="K117" s="20">
        <f t="shared" si="130"/>
        <v>0</v>
      </c>
      <c r="L117" s="20">
        <f t="shared" si="130"/>
        <v>0</v>
      </c>
    </row>
    <row r="118" spans="1:12" x14ac:dyDescent="0.25">
      <c r="B118" s="6" t="s">
        <v>76</v>
      </c>
      <c r="E118" s="19">
        <f>E235</f>
        <v>0</v>
      </c>
      <c r="F118" s="19">
        <f t="shared" ref="F118:L118" si="131">F235</f>
        <v>0</v>
      </c>
      <c r="G118" s="19">
        <f t="shared" si="131"/>
        <v>-8</v>
      </c>
      <c r="H118" s="69">
        <f t="shared" si="131"/>
        <v>0</v>
      </c>
      <c r="I118" s="19">
        <f t="shared" si="131"/>
        <v>0</v>
      </c>
      <c r="J118" s="19">
        <f t="shared" si="131"/>
        <v>0</v>
      </c>
      <c r="K118" s="19">
        <f t="shared" si="131"/>
        <v>0</v>
      </c>
      <c r="L118" s="19">
        <f t="shared" si="131"/>
        <v>0</v>
      </c>
    </row>
    <row r="119" spans="1:12" ht="15.75" thickBot="1" x14ac:dyDescent="0.3">
      <c r="B119" s="6" t="s">
        <v>77</v>
      </c>
      <c r="E119" s="19">
        <f>E51</f>
        <v>-21.6</v>
      </c>
      <c r="F119" s="36">
        <f t="shared" ref="F119:L119" si="132">F51</f>
        <v>-24.8</v>
      </c>
      <c r="G119" s="36">
        <f t="shared" si="132"/>
        <v>-27.4</v>
      </c>
      <c r="H119" s="70">
        <f t="shared" ca="1" si="132"/>
        <v>-29.268390581761896</v>
      </c>
      <c r="I119" s="36">
        <f t="shared" ca="1" si="132"/>
        <v>-32.695737613000553</v>
      </c>
      <c r="J119" s="36">
        <f t="shared" ca="1" si="132"/>
        <v>-37.137001654194592</v>
      </c>
      <c r="K119" s="36">
        <f t="shared" ca="1" si="132"/>
        <v>-41.420596249517821</v>
      </c>
      <c r="L119" s="36">
        <f t="shared" ca="1" si="132"/>
        <v>-47.188525541704927</v>
      </c>
    </row>
    <row r="120" spans="1:12" x14ac:dyDescent="0.25">
      <c r="B120" s="5" t="s">
        <v>78</v>
      </c>
      <c r="E120" s="37">
        <f>SUM(E116:E119)</f>
        <v>-41.6</v>
      </c>
      <c r="F120" s="37">
        <f t="shared" ref="F120:L120" si="133">SUM(F116:F119)</f>
        <v>-44.8</v>
      </c>
      <c r="G120" s="37">
        <f t="shared" si="133"/>
        <v>-60.4</v>
      </c>
      <c r="H120" s="71">
        <f t="shared" ca="1" si="133"/>
        <v>-49.268390581761892</v>
      </c>
      <c r="I120" s="37">
        <f t="shared" ca="1" si="133"/>
        <v>-52.695737613000553</v>
      </c>
      <c r="J120" s="37">
        <f t="shared" ca="1" si="133"/>
        <v>-57.137001654194592</v>
      </c>
      <c r="K120" s="37">
        <f t="shared" ca="1" si="133"/>
        <v>-61.420596249517821</v>
      </c>
      <c r="L120" s="37">
        <f t="shared" ca="1" si="133"/>
        <v>-67.188525541704934</v>
      </c>
    </row>
    <row r="121" spans="1:12" x14ac:dyDescent="0.25">
      <c r="E121" s="20"/>
      <c r="F121" s="20"/>
      <c r="G121" s="20"/>
      <c r="H121" s="65"/>
      <c r="I121" s="20"/>
      <c r="J121" s="20"/>
      <c r="K121" s="20"/>
      <c r="L121" s="20"/>
    </row>
    <row r="122" spans="1:12" x14ac:dyDescent="0.25">
      <c r="B122" s="5" t="s">
        <v>79</v>
      </c>
      <c r="E122" s="20">
        <f>E120+E113+E109</f>
        <v>-11.100000000000051</v>
      </c>
      <c r="F122" s="20">
        <f t="shared" ref="F122:L122" si="134">F120+F113+F109</f>
        <v>-6.1999999999999744</v>
      </c>
      <c r="G122" s="20">
        <f t="shared" si="134"/>
        <v>-9.1000000000000227</v>
      </c>
      <c r="H122" s="65">
        <f t="shared" ca="1" si="134"/>
        <v>18.969225972911872</v>
      </c>
      <c r="I122" s="20">
        <f t="shared" ca="1" si="134"/>
        <v>23.908369291461725</v>
      </c>
      <c r="J122" s="20">
        <f t="shared" ca="1" si="134"/>
        <v>27.532040005884923</v>
      </c>
      <c r="K122" s="20">
        <f t="shared" ca="1" si="134"/>
        <v>26.367088614697252</v>
      </c>
      <c r="L122" s="20">
        <f t="shared" ca="1" si="134"/>
        <v>37.780371209216923</v>
      </c>
    </row>
    <row r="123" spans="1:12" ht="15.75" thickBot="1" x14ac:dyDescent="0.3">
      <c r="B123" s="5" t="s">
        <v>80</v>
      </c>
      <c r="E123" s="19">
        <v>144.69999999999999</v>
      </c>
      <c r="F123" s="20">
        <f>E124</f>
        <v>133.59999999999994</v>
      </c>
      <c r="G123" s="20">
        <f t="shared" ref="G123:L123" si="135">F124</f>
        <v>127.39999999999996</v>
      </c>
      <c r="H123" s="65">
        <f t="shared" si="135"/>
        <v>118.29999999999994</v>
      </c>
      <c r="I123" s="20">
        <f t="shared" ca="1" si="135"/>
        <v>137.26922597291181</v>
      </c>
      <c r="J123" s="20">
        <f t="shared" ca="1" si="135"/>
        <v>161.17759526437354</v>
      </c>
      <c r="K123" s="20">
        <f t="shared" ca="1" si="135"/>
        <v>188.70963527025845</v>
      </c>
      <c r="L123" s="20">
        <f t="shared" ca="1" si="135"/>
        <v>215.0767238849557</v>
      </c>
    </row>
    <row r="124" spans="1:12" x14ac:dyDescent="0.25">
      <c r="B124" s="5" t="s">
        <v>81</v>
      </c>
      <c r="E124" s="37">
        <f>SUM(E122:E123)</f>
        <v>133.59999999999994</v>
      </c>
      <c r="F124" s="37">
        <f t="shared" ref="F124:L124" si="136">SUM(F122:F123)</f>
        <v>127.39999999999996</v>
      </c>
      <c r="G124" s="37">
        <f t="shared" si="136"/>
        <v>118.29999999999994</v>
      </c>
      <c r="H124" s="71">
        <f t="shared" ca="1" si="136"/>
        <v>137.26922597291181</v>
      </c>
      <c r="I124" s="37">
        <f t="shared" ca="1" si="136"/>
        <v>161.17759526437354</v>
      </c>
      <c r="J124" s="37">
        <f t="shared" ca="1" si="136"/>
        <v>188.70963527025845</v>
      </c>
      <c r="K124" s="37">
        <f t="shared" ca="1" si="136"/>
        <v>215.0767238849557</v>
      </c>
      <c r="L124" s="37">
        <f t="shared" ca="1" si="136"/>
        <v>252.85709509417262</v>
      </c>
    </row>
    <row r="127" spans="1:12" x14ac:dyDescent="0.25">
      <c r="A127" t="s">
        <v>19</v>
      </c>
      <c r="B127" s="2" t="s">
        <v>82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4.45" customHeight="1" x14ac:dyDescent="0.25">
      <c r="B128" s="86" t="s">
        <v>18</v>
      </c>
      <c r="C128" s="18"/>
      <c r="D128" s="18"/>
    </row>
    <row r="129" spans="2:12" ht="15.75" thickBot="1" x14ac:dyDescent="0.3">
      <c r="B129" s="86"/>
      <c r="C129" s="18"/>
      <c r="D129" s="18"/>
      <c r="E129" s="3">
        <f>DATE(2022,6,30)</f>
        <v>44742</v>
      </c>
      <c r="F129" s="3">
        <f>EDATE(E129,12)</f>
        <v>45107</v>
      </c>
      <c r="G129" s="3">
        <f t="shared" ref="G129" si="137">EDATE(F129,12)</f>
        <v>45473</v>
      </c>
      <c r="H129" s="4">
        <f t="shared" ref="H129" si="138">EDATE(G129,12)</f>
        <v>45838</v>
      </c>
      <c r="I129" s="4">
        <f t="shared" ref="I129" si="139">EDATE(H129,12)</f>
        <v>46203</v>
      </c>
      <c r="J129" s="4">
        <f t="shared" ref="J129" si="140">EDATE(I129,12)</f>
        <v>46568</v>
      </c>
      <c r="K129" s="4">
        <f t="shared" ref="K129" si="141">EDATE(J129,12)</f>
        <v>46934</v>
      </c>
      <c r="L129" s="4">
        <f t="shared" ref="L129" si="142">EDATE(K129,12)</f>
        <v>47299</v>
      </c>
    </row>
    <row r="130" spans="2:12" ht="15.75" thickBot="1" x14ac:dyDescent="0.3"/>
    <row r="131" spans="2:12" x14ac:dyDescent="0.25">
      <c r="B131" t="str">
        <f>B62</f>
        <v xml:space="preserve">Account Recieveables </v>
      </c>
      <c r="E131" s="38">
        <f>E62</f>
        <v>116.9</v>
      </c>
      <c r="F131" s="39">
        <f t="shared" ref="F131:G131" si="143">F62</f>
        <v>131.6</v>
      </c>
      <c r="G131" s="39">
        <f t="shared" si="143"/>
        <v>145.80000000000001</v>
      </c>
      <c r="H131" s="72">
        <f>(H136/365)*H35</f>
        <v>149.71507397260274</v>
      </c>
      <c r="I131" s="39">
        <f t="shared" ref="I131:L131" si="144">(I136/365)*I35</f>
        <v>153.39695579178084</v>
      </c>
      <c r="J131" s="39">
        <f t="shared" si="144"/>
        <v>160.52696429464109</v>
      </c>
      <c r="K131" s="39">
        <f t="shared" si="144"/>
        <v>175.13177045791824</v>
      </c>
      <c r="L131" s="40">
        <f t="shared" si="144"/>
        <v>187.74125793088837</v>
      </c>
    </row>
    <row r="132" spans="2:12" x14ac:dyDescent="0.25">
      <c r="B132" t="str">
        <f>B63</f>
        <v xml:space="preserve">Inventory </v>
      </c>
      <c r="E132" s="35">
        <f>E63</f>
        <v>101.7</v>
      </c>
      <c r="F132" s="41">
        <f t="shared" ref="F132:G132" si="145">F63</f>
        <v>111.9</v>
      </c>
      <c r="G132" s="41">
        <f t="shared" si="145"/>
        <v>120</v>
      </c>
      <c r="H132" s="73">
        <f>(H137/365)*-H36</f>
        <v>127.5350630136986</v>
      </c>
      <c r="I132" s="41">
        <f t="shared" ref="I132:L132" si="146">(I137/365)*-I36</f>
        <v>135.69730704657533</v>
      </c>
      <c r="J132" s="41">
        <f t="shared" si="146"/>
        <v>144.78902661869586</v>
      </c>
      <c r="K132" s="41">
        <f t="shared" si="146"/>
        <v>154.92425848200457</v>
      </c>
      <c r="L132" s="42">
        <f t="shared" si="146"/>
        <v>166.0788050927089</v>
      </c>
    </row>
    <row r="133" spans="2:12" x14ac:dyDescent="0.25">
      <c r="B133" t="str">
        <f>B75</f>
        <v xml:space="preserve">Accounts Payable </v>
      </c>
      <c r="E133" s="35">
        <f>E75</f>
        <v>57.4</v>
      </c>
      <c r="F133" s="41">
        <f t="shared" ref="F133:G133" si="147">F75</f>
        <v>63</v>
      </c>
      <c r="G133" s="41">
        <f t="shared" si="147"/>
        <v>66.7</v>
      </c>
      <c r="H133" s="73">
        <f>(H138/365)*-H36</f>
        <v>71.738472945205459</v>
      </c>
      <c r="I133" s="41">
        <f t="shared" ref="I133:L133" si="148">(I138/365)*-I36</f>
        <v>76.329735213698626</v>
      </c>
      <c r="J133" s="41">
        <f t="shared" si="148"/>
        <v>81.443827473016412</v>
      </c>
      <c r="K133" s="41">
        <f t="shared" si="148"/>
        <v>87.144895396127566</v>
      </c>
      <c r="L133" s="42">
        <f t="shared" si="148"/>
        <v>93.419327864648764</v>
      </c>
    </row>
    <row r="134" spans="2:12" ht="15.75" thickBot="1" x14ac:dyDescent="0.3">
      <c r="B134" t="str">
        <f>B78</f>
        <v xml:space="preserve">Income taxes Payable </v>
      </c>
      <c r="E134" s="30">
        <f>E78</f>
        <v>2.9</v>
      </c>
      <c r="F134" s="31">
        <f t="shared" ref="F134:G134" si="149">F78</f>
        <v>3.8</v>
      </c>
      <c r="G134" s="31">
        <f t="shared" si="149"/>
        <v>4.4000000000000004</v>
      </c>
      <c r="H134" s="74">
        <f ca="1">(H139/365)*-H48</f>
        <v>4.6040596051798222</v>
      </c>
      <c r="I134" s="31">
        <f t="shared" ref="I134:L134" ca="1" si="150">(I139/365)*-I48</f>
        <v>5.1431978941601439</v>
      </c>
      <c r="J134" s="31">
        <f t="shared" ca="1" si="150"/>
        <v>5.8418302398942776</v>
      </c>
      <c r="K134" s="31">
        <f t="shared" ca="1" si="150"/>
        <v>6.5156604180928586</v>
      </c>
      <c r="L134" s="32">
        <f t="shared" ca="1" si="150"/>
        <v>7.4229836337479069</v>
      </c>
    </row>
    <row r="135" spans="2:12" ht="15.75" thickBot="1" x14ac:dyDescent="0.3"/>
    <row r="136" spans="2:12" x14ac:dyDescent="0.25">
      <c r="B136" t="str">
        <f>B14</f>
        <v>Accounts Recieveable Day</v>
      </c>
      <c r="E136" s="21">
        <f>E14</f>
        <v>52</v>
      </c>
      <c r="F136" s="10">
        <f t="shared" ref="F136:L136" si="151">F14</f>
        <v>54</v>
      </c>
      <c r="G136" s="10">
        <f t="shared" si="151"/>
        <v>56</v>
      </c>
      <c r="H136" s="75">
        <f t="shared" si="151"/>
        <v>54</v>
      </c>
      <c r="I136" s="10">
        <f t="shared" si="151"/>
        <v>52</v>
      </c>
      <c r="J136" s="10">
        <f t="shared" si="151"/>
        <v>51</v>
      </c>
      <c r="K136" s="10">
        <f t="shared" si="151"/>
        <v>52</v>
      </c>
      <c r="L136" s="11">
        <f t="shared" si="151"/>
        <v>52</v>
      </c>
    </row>
    <row r="137" spans="2:12" x14ac:dyDescent="0.25">
      <c r="B137" t="str">
        <f>B15</f>
        <v xml:space="preserve">Inventory Days </v>
      </c>
      <c r="E137" s="12">
        <f t="shared" ref="E137:L137" si="152">E15</f>
        <v>78</v>
      </c>
      <c r="F137" s="8">
        <f t="shared" si="152"/>
        <v>80</v>
      </c>
      <c r="G137" s="8">
        <f t="shared" si="152"/>
        <v>81</v>
      </c>
      <c r="H137" s="76">
        <f t="shared" si="152"/>
        <v>80</v>
      </c>
      <c r="I137" s="8">
        <f t="shared" si="152"/>
        <v>80</v>
      </c>
      <c r="J137" s="8">
        <f t="shared" si="152"/>
        <v>80</v>
      </c>
      <c r="K137" s="8">
        <f t="shared" si="152"/>
        <v>80</v>
      </c>
      <c r="L137" s="13">
        <f t="shared" si="152"/>
        <v>80</v>
      </c>
    </row>
    <row r="138" spans="2:12" x14ac:dyDescent="0.25">
      <c r="B138" t="str">
        <f>B16</f>
        <v xml:space="preserve">Account Payable Days </v>
      </c>
      <c r="E138" s="12">
        <f t="shared" ref="E138:L138" si="153">E16</f>
        <v>44</v>
      </c>
      <c r="F138" s="8">
        <f t="shared" si="153"/>
        <v>45</v>
      </c>
      <c r="G138" s="8">
        <f t="shared" si="153"/>
        <v>45</v>
      </c>
      <c r="H138" s="76">
        <f t="shared" si="153"/>
        <v>45</v>
      </c>
      <c r="I138" s="8">
        <f t="shared" si="153"/>
        <v>45</v>
      </c>
      <c r="J138" s="8">
        <f t="shared" si="153"/>
        <v>45</v>
      </c>
      <c r="K138" s="8">
        <f t="shared" si="153"/>
        <v>45</v>
      </c>
      <c r="L138" s="13">
        <f t="shared" si="153"/>
        <v>45</v>
      </c>
    </row>
    <row r="139" spans="2:12" ht="15.75" thickBot="1" x14ac:dyDescent="0.3">
      <c r="B139" t="str">
        <f>B17</f>
        <v xml:space="preserve">Income Tax Payable Days </v>
      </c>
      <c r="E139" s="22">
        <f t="shared" ref="E139:L139" si="154">E17</f>
        <v>60.142045454545453</v>
      </c>
      <c r="F139" s="23">
        <f t="shared" si="154"/>
        <v>61.644444444444446</v>
      </c>
      <c r="G139" s="23">
        <f t="shared" si="154"/>
        <v>61.297709923664137</v>
      </c>
      <c r="H139" s="77">
        <f t="shared" si="154"/>
        <v>60</v>
      </c>
      <c r="I139" s="15">
        <f t="shared" si="154"/>
        <v>60</v>
      </c>
      <c r="J139" s="15">
        <f t="shared" si="154"/>
        <v>60</v>
      </c>
      <c r="K139" s="15">
        <f t="shared" si="154"/>
        <v>60</v>
      </c>
      <c r="L139" s="16">
        <f t="shared" si="154"/>
        <v>60</v>
      </c>
    </row>
    <row r="141" spans="2:12" ht="15.75" thickBot="1" x14ac:dyDescent="0.3">
      <c r="B141" t="s">
        <v>83</v>
      </c>
    </row>
    <row r="142" spans="2:12" x14ac:dyDescent="0.25">
      <c r="B142" t="str">
        <f>B131</f>
        <v xml:space="preserve">Account Recieveables </v>
      </c>
      <c r="E142" s="38">
        <f>E105</f>
        <v>-10.4</v>
      </c>
      <c r="F142" s="39">
        <f t="shared" ref="F142:L142" si="155">F105</f>
        <v>-14.699999999999989</v>
      </c>
      <c r="G142" s="39">
        <f t="shared" si="155"/>
        <v>-14.200000000000017</v>
      </c>
      <c r="H142" s="72">
        <f t="shared" si="155"/>
        <v>-3.9150739726027268</v>
      </c>
      <c r="I142" s="39">
        <f t="shared" si="155"/>
        <v>-3.681881819178102</v>
      </c>
      <c r="J142" s="39">
        <f t="shared" si="155"/>
        <v>-7.1300085028602496</v>
      </c>
      <c r="K142" s="39">
        <f t="shared" si="155"/>
        <v>-14.604806163277146</v>
      </c>
      <c r="L142" s="40">
        <f t="shared" si="155"/>
        <v>-12.60948747297013</v>
      </c>
    </row>
    <row r="143" spans="2:12" x14ac:dyDescent="0.25">
      <c r="B143" t="str">
        <f t="shared" ref="B143:B145" si="156">B132</f>
        <v xml:space="preserve">Inventory </v>
      </c>
      <c r="E143" s="35">
        <f>E106</f>
        <v>-7.7</v>
      </c>
      <c r="F143" s="41">
        <f t="shared" ref="F143:L143" si="157">F106</f>
        <v>-10.200000000000003</v>
      </c>
      <c r="G143" s="41">
        <f t="shared" si="157"/>
        <v>-8.0999999999999943</v>
      </c>
      <c r="H143" s="73">
        <f t="shared" si="157"/>
        <v>-7.5350630136986041</v>
      </c>
      <c r="I143" s="41">
        <f t="shared" si="157"/>
        <v>-8.1622440328767283</v>
      </c>
      <c r="J143" s="41">
        <f t="shared" si="157"/>
        <v>-9.0917195721205246</v>
      </c>
      <c r="K143" s="41">
        <f t="shared" si="157"/>
        <v>-10.135231863308718</v>
      </c>
      <c r="L143" s="42">
        <f t="shared" si="157"/>
        <v>-11.15454661070433</v>
      </c>
    </row>
    <row r="144" spans="2:12" x14ac:dyDescent="0.25">
      <c r="B144" t="str">
        <f t="shared" si="156"/>
        <v xml:space="preserve">Accounts Payable </v>
      </c>
      <c r="E144" s="35">
        <f>E107</f>
        <v>3.7</v>
      </c>
      <c r="F144" s="41">
        <f t="shared" ref="F144:L144" si="158">F107</f>
        <v>5.6000000000000014</v>
      </c>
      <c r="G144" s="41">
        <f t="shared" si="158"/>
        <v>3.7000000000000028</v>
      </c>
      <c r="H144" s="73">
        <f t="shared" si="158"/>
        <v>5.0384729452054557</v>
      </c>
      <c r="I144" s="41">
        <f t="shared" si="158"/>
        <v>4.5912622684931677</v>
      </c>
      <c r="J144" s="41">
        <f t="shared" si="158"/>
        <v>5.1140922593177862</v>
      </c>
      <c r="K144" s="41">
        <f t="shared" si="158"/>
        <v>5.7010679231111538</v>
      </c>
      <c r="L144" s="42">
        <f t="shared" si="158"/>
        <v>6.2744324685211978</v>
      </c>
    </row>
    <row r="145" spans="1:12" ht="15.75" thickBot="1" x14ac:dyDescent="0.3">
      <c r="B145" t="str">
        <f t="shared" si="156"/>
        <v xml:space="preserve">Income taxes Payable </v>
      </c>
      <c r="E145" s="30">
        <f>E108</f>
        <v>0.6</v>
      </c>
      <c r="F145" s="31">
        <f t="shared" ref="F145:L145" si="159">F108</f>
        <v>0.89999999999999991</v>
      </c>
      <c r="G145" s="31">
        <f t="shared" si="159"/>
        <v>0.60000000000000053</v>
      </c>
      <c r="H145" s="74">
        <f t="shared" ca="1" si="159"/>
        <v>0.2040596051798218</v>
      </c>
      <c r="I145" s="31">
        <f t="shared" ca="1" si="159"/>
        <v>0.53913828898032179</v>
      </c>
      <c r="J145" s="31">
        <f t="shared" ca="1" si="159"/>
        <v>0.69863234573413369</v>
      </c>
      <c r="K145" s="31">
        <f t="shared" ca="1" si="159"/>
        <v>0.67383017819858093</v>
      </c>
      <c r="L145" s="32">
        <f t="shared" ca="1" si="159"/>
        <v>0.90732321565504837</v>
      </c>
    </row>
    <row r="148" spans="1:12" x14ac:dyDescent="0.25">
      <c r="A148" t="s">
        <v>19</v>
      </c>
      <c r="B148" s="2" t="s">
        <v>84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4.45" customHeight="1" x14ac:dyDescent="0.25">
      <c r="B149" s="86" t="s">
        <v>18</v>
      </c>
      <c r="C149" s="18"/>
      <c r="D149" s="18"/>
    </row>
    <row r="150" spans="1:12" ht="15.75" thickBot="1" x14ac:dyDescent="0.3">
      <c r="B150" s="86"/>
      <c r="C150" s="18"/>
      <c r="D150" s="18"/>
      <c r="E150" s="3">
        <f>DATE(2022,6,30)</f>
        <v>44742</v>
      </c>
      <c r="F150" s="3">
        <f>EDATE(E150,12)</f>
        <v>45107</v>
      </c>
      <c r="G150" s="3">
        <f t="shared" ref="G150" si="160">EDATE(F150,12)</f>
        <v>45473</v>
      </c>
      <c r="H150" s="4">
        <f t="shared" ref="H150" si="161">EDATE(G150,12)</f>
        <v>45838</v>
      </c>
      <c r="I150" s="4">
        <f t="shared" ref="I150" si="162">EDATE(H150,12)</f>
        <v>46203</v>
      </c>
      <c r="J150" s="4">
        <f t="shared" ref="J150" si="163">EDATE(I150,12)</f>
        <v>46568</v>
      </c>
      <c r="K150" s="4">
        <f t="shared" ref="K150" si="164">EDATE(J150,12)</f>
        <v>46934</v>
      </c>
      <c r="L150" s="4">
        <f t="shared" ref="L150" si="165">EDATE(K150,12)</f>
        <v>47299</v>
      </c>
    </row>
    <row r="151" spans="1:12" ht="15.75" thickBot="1" x14ac:dyDescent="0.3"/>
    <row r="152" spans="1:12" x14ac:dyDescent="0.25">
      <c r="B152" t="str">
        <f>B18</f>
        <v xml:space="preserve">Lonng Term Debt Beginning Balance </v>
      </c>
      <c r="E152" s="38">
        <f>E18</f>
        <v>260</v>
      </c>
      <c r="F152" s="39">
        <f>F18</f>
        <v>240</v>
      </c>
      <c r="G152" s="39">
        <f t="shared" ref="G152:L152" si="166">G155</f>
        <v>220</v>
      </c>
      <c r="H152" s="72">
        <f t="shared" si="166"/>
        <v>200</v>
      </c>
      <c r="I152" s="39">
        <f t="shared" si="166"/>
        <v>180</v>
      </c>
      <c r="J152" s="39">
        <f t="shared" si="166"/>
        <v>160</v>
      </c>
      <c r="K152" s="39">
        <f t="shared" si="166"/>
        <v>140</v>
      </c>
      <c r="L152" s="39">
        <f t="shared" si="166"/>
        <v>120</v>
      </c>
    </row>
    <row r="153" spans="1:12" ht="15.75" thickBot="1" x14ac:dyDescent="0.3">
      <c r="B153" t="str">
        <f>B19</f>
        <v xml:space="preserve">Long Term Debt Interest Rate </v>
      </c>
      <c r="E153" s="24">
        <f>E19</f>
        <v>5.3999999999999999E-2</v>
      </c>
      <c r="F153" s="25">
        <f t="shared" ref="F153:L153" si="167">F19</f>
        <v>5.3999999999999999E-2</v>
      </c>
      <c r="G153" s="25">
        <f t="shared" si="167"/>
        <v>5.3999999999999999E-2</v>
      </c>
      <c r="H153" s="78">
        <f t="shared" si="167"/>
        <v>5.3999999999999999E-2</v>
      </c>
      <c r="I153" s="25">
        <f t="shared" si="167"/>
        <v>5.3999999999999999E-2</v>
      </c>
      <c r="J153" s="25">
        <f t="shared" si="167"/>
        <v>5.3999999999999999E-2</v>
      </c>
      <c r="K153" s="25">
        <f t="shared" si="167"/>
        <v>5.3999999999999999E-2</v>
      </c>
      <c r="L153" s="26">
        <f t="shared" si="167"/>
        <v>5.3999999999999999E-2</v>
      </c>
    </row>
    <row r="155" spans="1:12" x14ac:dyDescent="0.25">
      <c r="B155" t="s">
        <v>85</v>
      </c>
      <c r="E155" s="20">
        <f>E152</f>
        <v>260</v>
      </c>
      <c r="F155" s="20">
        <f>F152</f>
        <v>240</v>
      </c>
      <c r="G155" s="20">
        <f>F157</f>
        <v>220</v>
      </c>
      <c r="H155" s="65">
        <f t="shared" ref="H155:L155" si="168">G157</f>
        <v>200</v>
      </c>
      <c r="I155" s="20">
        <f t="shared" si="168"/>
        <v>180</v>
      </c>
      <c r="J155" s="20">
        <f t="shared" si="168"/>
        <v>160</v>
      </c>
      <c r="K155" s="20">
        <f t="shared" si="168"/>
        <v>140</v>
      </c>
      <c r="L155" s="20">
        <f t="shared" si="168"/>
        <v>120</v>
      </c>
    </row>
    <row r="156" spans="1:12" ht="15.75" thickBot="1" x14ac:dyDescent="0.3">
      <c r="B156" t="str">
        <f>B116</f>
        <v>Increase/ (Decrease) in Long Term Debt</v>
      </c>
      <c r="E156" s="20">
        <f>E157-E155</f>
        <v>-20</v>
      </c>
      <c r="F156" s="20">
        <v>-20</v>
      </c>
      <c r="G156" s="20">
        <v>-20</v>
      </c>
      <c r="H156" s="65">
        <v>-20</v>
      </c>
      <c r="I156" s="20">
        <v>-20</v>
      </c>
      <c r="J156" s="20">
        <v>-20</v>
      </c>
      <c r="K156" s="20">
        <v>-20</v>
      </c>
      <c r="L156" s="20">
        <v>-20</v>
      </c>
    </row>
    <row r="157" spans="1:12" x14ac:dyDescent="0.25">
      <c r="B157" t="s">
        <v>86</v>
      </c>
      <c r="E157" s="37">
        <f>F155</f>
        <v>240</v>
      </c>
      <c r="F157" s="37">
        <f>SUM(F155:F156)</f>
        <v>220</v>
      </c>
      <c r="G157" s="37">
        <f t="shared" ref="G157:L157" si="169">SUM(G155:G156)</f>
        <v>200</v>
      </c>
      <c r="H157" s="71">
        <f t="shared" si="169"/>
        <v>180</v>
      </c>
      <c r="I157" s="37">
        <f t="shared" si="169"/>
        <v>160</v>
      </c>
      <c r="J157" s="37">
        <f t="shared" si="169"/>
        <v>140</v>
      </c>
      <c r="K157" s="37">
        <f t="shared" si="169"/>
        <v>120</v>
      </c>
      <c r="L157" s="37">
        <f t="shared" si="169"/>
        <v>100</v>
      </c>
    </row>
    <row r="158" spans="1:12" ht="15.75" thickBot="1" x14ac:dyDescent="0.3"/>
    <row r="159" spans="1:12" ht="15.75" thickBot="1" x14ac:dyDescent="0.3">
      <c r="B159" t="s">
        <v>87</v>
      </c>
      <c r="E159" s="43">
        <f>E153*AVERAGE(E155,E157)</f>
        <v>13.5</v>
      </c>
      <c r="F159" s="44">
        <f t="shared" ref="F159:L159" si="170">F153*AVERAGE(F155,F157)</f>
        <v>12.42</v>
      </c>
      <c r="G159" s="44">
        <f t="shared" si="170"/>
        <v>11.34</v>
      </c>
      <c r="H159" s="79">
        <f t="shared" si="170"/>
        <v>10.26</v>
      </c>
      <c r="I159" s="44">
        <f t="shared" si="170"/>
        <v>9.18</v>
      </c>
      <c r="J159" s="44">
        <f t="shared" si="170"/>
        <v>8.1</v>
      </c>
      <c r="K159" s="44">
        <f t="shared" si="170"/>
        <v>7.02</v>
      </c>
      <c r="L159" s="45">
        <f t="shared" si="170"/>
        <v>5.9399999999999995</v>
      </c>
    </row>
    <row r="161" spans="1:12" ht="15.75" thickBot="1" x14ac:dyDescent="0.3"/>
    <row r="162" spans="1:12" x14ac:dyDescent="0.25">
      <c r="B162" t="s">
        <v>13</v>
      </c>
      <c r="E162" s="38">
        <f>E20</f>
        <v>35</v>
      </c>
      <c r="F162" s="39">
        <f t="shared" ref="F162:H162" si="171">F20</f>
        <v>35</v>
      </c>
      <c r="G162" s="39">
        <f t="shared" si="171"/>
        <v>35</v>
      </c>
      <c r="H162" s="72">
        <f t="shared" si="171"/>
        <v>30</v>
      </c>
      <c r="I162" s="39">
        <f>I165</f>
        <v>30</v>
      </c>
      <c r="J162" s="39">
        <f>J165</f>
        <v>30</v>
      </c>
      <c r="K162" s="39">
        <f t="shared" ref="K162:L162" si="172">K165</f>
        <v>30</v>
      </c>
      <c r="L162" s="39">
        <f t="shared" si="172"/>
        <v>30</v>
      </c>
    </row>
    <row r="163" spans="1:12" ht="15.75" thickBot="1" x14ac:dyDescent="0.3">
      <c r="B163" t="s">
        <v>88</v>
      </c>
      <c r="E163" s="24">
        <f>E21</f>
        <v>6.0999999999999999E-2</v>
      </c>
      <c r="F163" s="25">
        <f t="shared" ref="F163:L163" si="173">F21</f>
        <v>6.0999999999999999E-2</v>
      </c>
      <c r="G163" s="25">
        <f t="shared" si="173"/>
        <v>6.0999999999999999E-2</v>
      </c>
      <c r="H163" s="78">
        <f t="shared" si="173"/>
        <v>6.0999999999999999E-2</v>
      </c>
      <c r="I163" s="25">
        <f t="shared" si="173"/>
        <v>6.0999999999999999E-2</v>
      </c>
      <c r="J163" s="25">
        <f t="shared" si="173"/>
        <v>6.0999999999999999E-2</v>
      </c>
      <c r="K163" s="25">
        <f t="shared" si="173"/>
        <v>6.0999999999999999E-2</v>
      </c>
      <c r="L163" s="26">
        <f t="shared" si="173"/>
        <v>6.0999999999999999E-2</v>
      </c>
    </row>
    <row r="165" spans="1:12" x14ac:dyDescent="0.25">
      <c r="B165" t="s">
        <v>89</v>
      </c>
      <c r="E165" s="20">
        <f>E162</f>
        <v>35</v>
      </c>
      <c r="F165" s="20">
        <f>E167</f>
        <v>35</v>
      </c>
      <c r="G165" s="20">
        <f>G162</f>
        <v>35</v>
      </c>
      <c r="H165" s="65">
        <f>H162</f>
        <v>30</v>
      </c>
      <c r="I165" s="20">
        <f>H167</f>
        <v>30</v>
      </c>
      <c r="J165" s="20">
        <f t="shared" ref="J165:L165" si="174">I167</f>
        <v>30</v>
      </c>
      <c r="K165" s="20">
        <f t="shared" si="174"/>
        <v>30</v>
      </c>
      <c r="L165" s="20">
        <f t="shared" si="174"/>
        <v>30</v>
      </c>
    </row>
    <row r="166" spans="1:12" ht="15.75" thickBot="1" x14ac:dyDescent="0.3">
      <c r="B166" t="s">
        <v>75</v>
      </c>
      <c r="E166" s="20">
        <f>E167-E165</f>
        <v>0</v>
      </c>
      <c r="F166" s="20">
        <f t="shared" ref="F166:G166" si="175">F167-F165</f>
        <v>0</v>
      </c>
      <c r="G166" s="20">
        <f t="shared" si="175"/>
        <v>-5</v>
      </c>
      <c r="H166" s="65">
        <v>0</v>
      </c>
      <c r="I166" s="20">
        <v>0</v>
      </c>
      <c r="J166" s="20">
        <v>0</v>
      </c>
      <c r="K166" s="20">
        <v>0</v>
      </c>
      <c r="L166" s="20">
        <v>0</v>
      </c>
    </row>
    <row r="167" spans="1:12" x14ac:dyDescent="0.25">
      <c r="B167" t="s">
        <v>90</v>
      </c>
      <c r="E167" s="37">
        <f>F162</f>
        <v>35</v>
      </c>
      <c r="F167" s="37">
        <f>G165</f>
        <v>35</v>
      </c>
      <c r="G167" s="37">
        <f>H162</f>
        <v>30</v>
      </c>
      <c r="H167" s="71">
        <f>SUM(H165:H166)</f>
        <v>30</v>
      </c>
      <c r="I167" s="37">
        <f t="shared" ref="I167:L167" si="176">SUM(I165:I166)</f>
        <v>30</v>
      </c>
      <c r="J167" s="37">
        <f t="shared" si="176"/>
        <v>30</v>
      </c>
      <c r="K167" s="37">
        <f t="shared" si="176"/>
        <v>30</v>
      </c>
      <c r="L167" s="37">
        <f t="shared" si="176"/>
        <v>30</v>
      </c>
    </row>
    <row r="168" spans="1:12" ht="15.75" thickBot="1" x14ac:dyDescent="0.3"/>
    <row r="169" spans="1:12" ht="15.75" thickBot="1" x14ac:dyDescent="0.3">
      <c r="B169" t="s">
        <v>91</v>
      </c>
      <c r="E169" s="43">
        <f>E163*AVERAGE(E167,E165)</f>
        <v>2.1349999999999998</v>
      </c>
      <c r="F169" s="44">
        <f t="shared" ref="F169:L169" si="177">F163*AVERAGE(F167,F165)</f>
        <v>2.1349999999999998</v>
      </c>
      <c r="G169" s="44">
        <f t="shared" si="177"/>
        <v>1.9824999999999999</v>
      </c>
      <c r="H169" s="79">
        <f t="shared" si="177"/>
        <v>1.83</v>
      </c>
      <c r="I169" s="44">
        <f t="shared" si="177"/>
        <v>1.83</v>
      </c>
      <c r="J169" s="44">
        <f t="shared" si="177"/>
        <v>1.83</v>
      </c>
      <c r="K169" s="44">
        <f t="shared" si="177"/>
        <v>1.83</v>
      </c>
      <c r="L169" s="45">
        <f t="shared" si="177"/>
        <v>1.83</v>
      </c>
    </row>
    <row r="172" spans="1:12" x14ac:dyDescent="0.25">
      <c r="A172" t="s">
        <v>19</v>
      </c>
      <c r="B172" s="2" t="s">
        <v>92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4.45" customHeight="1" x14ac:dyDescent="0.25">
      <c r="B173" s="86" t="s">
        <v>18</v>
      </c>
      <c r="C173" s="18"/>
      <c r="D173" s="18"/>
    </row>
    <row r="174" spans="1:12" ht="15.75" thickBot="1" x14ac:dyDescent="0.3">
      <c r="B174" s="86"/>
      <c r="C174" s="18"/>
      <c r="D174" s="18"/>
      <c r="E174" s="3">
        <f>DATE(2022,6,30)</f>
        <v>44742</v>
      </c>
      <c r="F174" s="3">
        <f>EDATE(E174,12)</f>
        <v>45107</v>
      </c>
      <c r="G174" s="3">
        <f t="shared" ref="G174" si="178">EDATE(F174,12)</f>
        <v>45473</v>
      </c>
      <c r="H174" s="4">
        <f t="shared" ref="H174" si="179">EDATE(G174,12)</f>
        <v>45838</v>
      </c>
      <c r="I174" s="4">
        <f t="shared" ref="I174" si="180">EDATE(H174,12)</f>
        <v>46203</v>
      </c>
      <c r="J174" s="4">
        <f t="shared" ref="J174" si="181">EDATE(I174,12)</f>
        <v>46568</v>
      </c>
      <c r="K174" s="4">
        <f t="shared" ref="K174" si="182">EDATE(J174,12)</f>
        <v>46934</v>
      </c>
      <c r="L174" s="4">
        <f t="shared" ref="L174" si="183">EDATE(K174,12)</f>
        <v>47299</v>
      </c>
    </row>
    <row r="175" spans="1:12" ht="15.75" thickBot="1" x14ac:dyDescent="0.3"/>
    <row r="176" spans="1:12" x14ac:dyDescent="0.25">
      <c r="B176" t="s">
        <v>126</v>
      </c>
      <c r="E176" s="38">
        <f>E250</f>
        <v>133.59999999999994</v>
      </c>
      <c r="F176" s="39">
        <f t="shared" ref="F176:L176" si="184">F250</f>
        <v>127.39999999999996</v>
      </c>
      <c r="G176" s="39">
        <f t="shared" si="184"/>
        <v>118.29999999999994</v>
      </c>
      <c r="H176" s="72">
        <f t="shared" si="184"/>
        <v>136.57005108674019</v>
      </c>
      <c r="I176" s="39">
        <f t="shared" si="184"/>
        <v>159.71590661680264</v>
      </c>
      <c r="J176" s="39">
        <f t="shared" si="184"/>
        <v>186.35702394955848</v>
      </c>
      <c r="K176" s="39">
        <f t="shared" si="184"/>
        <v>211.7004038768379</v>
      </c>
      <c r="L176" s="40">
        <f t="shared" si="184"/>
        <v>248.29740229553747</v>
      </c>
    </row>
    <row r="177" spans="2:12" x14ac:dyDescent="0.25">
      <c r="B177" t="str">
        <f>B22</f>
        <v xml:space="preserve">Revolver Beginning Balance </v>
      </c>
      <c r="E177" s="35">
        <f>E22</f>
        <v>0</v>
      </c>
      <c r="F177" s="41">
        <f t="shared" ref="F177:H177" si="185">F22</f>
        <v>0</v>
      </c>
      <c r="G177" s="41">
        <f t="shared" si="185"/>
        <v>0</v>
      </c>
      <c r="H177" s="73">
        <f t="shared" ca="1" si="185"/>
        <v>0</v>
      </c>
      <c r="I177" s="41">
        <v>0</v>
      </c>
      <c r="J177" s="41">
        <v>0</v>
      </c>
      <c r="K177" s="41">
        <v>0</v>
      </c>
      <c r="L177" s="42">
        <v>0</v>
      </c>
    </row>
    <row r="178" spans="2:12" x14ac:dyDescent="0.25">
      <c r="B178" t="str">
        <f>B23</f>
        <v xml:space="preserve">Revolver Interest Rate </v>
      </c>
      <c r="E178" s="27">
        <f>E23</f>
        <v>6.5000000000000002E-2</v>
      </c>
      <c r="F178" s="28">
        <f t="shared" ref="F178:L178" si="186">F23</f>
        <v>6.5000000000000002E-2</v>
      </c>
      <c r="G178" s="28">
        <f t="shared" si="186"/>
        <v>6.5000000000000002E-2</v>
      </c>
      <c r="H178" s="80">
        <f t="shared" si="186"/>
        <v>6.5000000000000002E-2</v>
      </c>
      <c r="I178" s="28">
        <f t="shared" si="186"/>
        <v>6.5000000000000002E-2</v>
      </c>
      <c r="J178" s="28">
        <f t="shared" si="186"/>
        <v>6.5000000000000002E-2</v>
      </c>
      <c r="K178" s="28">
        <f t="shared" si="186"/>
        <v>6.5000000000000002E-2</v>
      </c>
      <c r="L178" s="29">
        <f t="shared" si="186"/>
        <v>6.5000000000000002E-2</v>
      </c>
    </row>
    <row r="179" spans="2:12" x14ac:dyDescent="0.25">
      <c r="B179" t="str">
        <f>B24</f>
        <v>Revolver Continuence Fee</v>
      </c>
      <c r="E179" s="27">
        <f>E24</f>
        <v>3.5000000000000001E-3</v>
      </c>
      <c r="F179" s="28">
        <f t="shared" ref="F179:L179" si="187">F24</f>
        <v>3.5000000000000001E-3</v>
      </c>
      <c r="G179" s="28">
        <f t="shared" si="187"/>
        <v>3.5000000000000001E-3</v>
      </c>
      <c r="H179" s="80">
        <f t="shared" si="187"/>
        <v>3.5000000000000001E-3</v>
      </c>
      <c r="I179" s="28">
        <f t="shared" si="187"/>
        <v>3.5000000000000001E-3</v>
      </c>
      <c r="J179" s="28">
        <f t="shared" si="187"/>
        <v>3.5000000000000001E-3</v>
      </c>
      <c r="K179" s="28">
        <f t="shared" si="187"/>
        <v>3.5000000000000001E-3</v>
      </c>
      <c r="L179" s="29">
        <f t="shared" si="187"/>
        <v>3.5000000000000001E-3</v>
      </c>
    </row>
    <row r="180" spans="2:12" x14ac:dyDescent="0.25">
      <c r="B180" s="20" t="str">
        <f>B25</f>
        <v>Maximum Revolver Balance</v>
      </c>
      <c r="E180" s="35">
        <f>E25</f>
        <v>150</v>
      </c>
      <c r="F180" s="41">
        <f t="shared" ref="F180:L180" si="188">F25</f>
        <v>150</v>
      </c>
      <c r="G180" s="41">
        <f t="shared" si="188"/>
        <v>150</v>
      </c>
      <c r="H180" s="73">
        <f t="shared" si="188"/>
        <v>150</v>
      </c>
      <c r="I180" s="41">
        <f t="shared" si="188"/>
        <v>150</v>
      </c>
      <c r="J180" s="41">
        <f t="shared" si="188"/>
        <v>150</v>
      </c>
      <c r="K180" s="41">
        <f t="shared" si="188"/>
        <v>150</v>
      </c>
      <c r="L180" s="42">
        <f t="shared" si="188"/>
        <v>150</v>
      </c>
    </row>
    <row r="181" spans="2:12" ht="15.75" thickBot="1" x14ac:dyDescent="0.3">
      <c r="B181" t="s">
        <v>120</v>
      </c>
      <c r="E181" s="30">
        <f>E26</f>
        <v>60</v>
      </c>
      <c r="F181" s="31">
        <f t="shared" ref="F181:L181" si="189">F26</f>
        <v>60</v>
      </c>
      <c r="G181" s="31">
        <f t="shared" si="189"/>
        <v>60</v>
      </c>
      <c r="H181" s="74">
        <f t="shared" si="189"/>
        <v>60</v>
      </c>
      <c r="I181" s="31">
        <f t="shared" si="189"/>
        <v>60</v>
      </c>
      <c r="J181" s="31">
        <f t="shared" si="189"/>
        <v>60</v>
      </c>
      <c r="K181" s="31">
        <f t="shared" si="189"/>
        <v>60</v>
      </c>
      <c r="L181" s="32">
        <f t="shared" si="189"/>
        <v>60</v>
      </c>
    </row>
    <row r="183" spans="2:12" x14ac:dyDescent="0.25">
      <c r="B183" t="s">
        <v>93</v>
      </c>
      <c r="E183" s="20">
        <f>E177</f>
        <v>0</v>
      </c>
      <c r="F183" s="20">
        <f t="shared" ref="F183:L183" si="190">F177</f>
        <v>0</v>
      </c>
      <c r="G183" s="20">
        <f t="shared" si="190"/>
        <v>0</v>
      </c>
      <c r="H183" s="65">
        <f t="shared" ca="1" si="190"/>
        <v>0</v>
      </c>
      <c r="I183" s="20">
        <f t="shared" si="190"/>
        <v>0</v>
      </c>
      <c r="J183" s="20">
        <f t="shared" si="190"/>
        <v>0</v>
      </c>
      <c r="K183" s="20">
        <f t="shared" si="190"/>
        <v>0</v>
      </c>
      <c r="L183" s="20">
        <f t="shared" si="190"/>
        <v>0</v>
      </c>
    </row>
    <row r="184" spans="2:12" x14ac:dyDescent="0.25">
      <c r="B184" t="s">
        <v>94</v>
      </c>
      <c r="E184" s="20">
        <f>MAX(E181-E176,0)</f>
        <v>0</v>
      </c>
      <c r="F184" s="20">
        <f t="shared" ref="F184:L184" si="191">MAX(F181-F176,0)</f>
        <v>0</v>
      </c>
      <c r="G184" s="20">
        <f t="shared" si="191"/>
        <v>0</v>
      </c>
      <c r="H184" s="65">
        <f t="shared" si="191"/>
        <v>0</v>
      </c>
      <c r="I184" s="20">
        <f t="shared" si="191"/>
        <v>0</v>
      </c>
      <c r="J184" s="20">
        <f t="shared" si="191"/>
        <v>0</v>
      </c>
      <c r="K184" s="20">
        <f t="shared" si="191"/>
        <v>0</v>
      </c>
      <c r="L184" s="20">
        <f t="shared" si="191"/>
        <v>0</v>
      </c>
    </row>
    <row r="185" spans="2:12" ht="15.75" thickBot="1" x14ac:dyDescent="0.3">
      <c r="B185" t="s">
        <v>95</v>
      </c>
      <c r="E185" s="20">
        <f>MAX(MIN(0,E176-E181),E177)</f>
        <v>0</v>
      </c>
      <c r="F185" s="20">
        <f t="shared" ref="F185:L185" si="192">MAX(MIN(0,F176-F181),F177)</f>
        <v>0</v>
      </c>
      <c r="G185" s="20">
        <f t="shared" si="192"/>
        <v>0</v>
      </c>
      <c r="H185" s="65">
        <f t="shared" ca="1" si="192"/>
        <v>0</v>
      </c>
      <c r="I185" s="20">
        <f t="shared" si="192"/>
        <v>0</v>
      </c>
      <c r="J185" s="20">
        <f t="shared" si="192"/>
        <v>0</v>
      </c>
      <c r="K185" s="20">
        <f t="shared" si="192"/>
        <v>0</v>
      </c>
      <c r="L185" s="20">
        <f t="shared" si="192"/>
        <v>0</v>
      </c>
    </row>
    <row r="186" spans="2:12" x14ac:dyDescent="0.25">
      <c r="B186" t="s">
        <v>96</v>
      </c>
      <c r="E186" s="37">
        <f>SUM(E183:E185)</f>
        <v>0</v>
      </c>
      <c r="F186" s="37">
        <f t="shared" ref="F186:L186" si="193">SUM(F183:F185)</f>
        <v>0</v>
      </c>
      <c r="G186" s="37">
        <f t="shared" si="193"/>
        <v>0</v>
      </c>
      <c r="H186" s="71">
        <f t="shared" ca="1" si="193"/>
        <v>0</v>
      </c>
      <c r="I186" s="37">
        <f t="shared" si="193"/>
        <v>0</v>
      </c>
      <c r="J186" s="37">
        <f t="shared" si="193"/>
        <v>0</v>
      </c>
      <c r="K186" s="37">
        <f t="shared" si="193"/>
        <v>0</v>
      </c>
      <c r="L186" s="37">
        <f t="shared" si="193"/>
        <v>0</v>
      </c>
    </row>
    <row r="187" spans="2:12" ht="15.75" thickBot="1" x14ac:dyDescent="0.3"/>
    <row r="188" spans="2:12" x14ac:dyDescent="0.25">
      <c r="B188" t="s">
        <v>97</v>
      </c>
      <c r="E188" s="9">
        <f>E178*AVERAGE(E186,E183)</f>
        <v>0</v>
      </c>
      <c r="F188" s="10">
        <f t="shared" ref="F188:L188" si="194">F178*AVERAGE(F186,F183)</f>
        <v>0</v>
      </c>
      <c r="G188" s="10">
        <f t="shared" si="194"/>
        <v>0</v>
      </c>
      <c r="H188" s="75">
        <f t="shared" ca="1" si="194"/>
        <v>0</v>
      </c>
      <c r="I188" s="10">
        <f t="shared" si="194"/>
        <v>0</v>
      </c>
      <c r="J188" s="10">
        <f t="shared" si="194"/>
        <v>0</v>
      </c>
      <c r="K188" s="10">
        <f t="shared" si="194"/>
        <v>0</v>
      </c>
      <c r="L188" s="11">
        <f t="shared" si="194"/>
        <v>0</v>
      </c>
    </row>
    <row r="189" spans="2:12" ht="15.75" thickBot="1" x14ac:dyDescent="0.3">
      <c r="B189" t="str">
        <f>B179</f>
        <v>Revolver Continuence Fee</v>
      </c>
      <c r="E189" s="14">
        <f>E179*E186</f>
        <v>0</v>
      </c>
      <c r="F189" s="15">
        <f t="shared" ref="F189:L189" si="195">F179*F186</f>
        <v>0</v>
      </c>
      <c r="G189" s="15">
        <f t="shared" si="195"/>
        <v>0</v>
      </c>
      <c r="H189" s="77">
        <f t="shared" ca="1" si="195"/>
        <v>0</v>
      </c>
      <c r="I189" s="15">
        <f t="shared" si="195"/>
        <v>0</v>
      </c>
      <c r="J189" s="15">
        <f t="shared" si="195"/>
        <v>0</v>
      </c>
      <c r="K189" s="15">
        <f t="shared" si="195"/>
        <v>0</v>
      </c>
      <c r="L189" s="16">
        <f t="shared" si="195"/>
        <v>0</v>
      </c>
    </row>
    <row r="192" spans="2:12" x14ac:dyDescent="0.25">
      <c r="B192" t="str">
        <f>B159</f>
        <v xml:space="preserve">Long Term Debt Interest expense </v>
      </c>
      <c r="E192" s="20">
        <f>E159</f>
        <v>13.5</v>
      </c>
      <c r="F192" s="20">
        <f t="shared" ref="F192:L192" si="196">F159</f>
        <v>12.42</v>
      </c>
      <c r="G192" s="20">
        <f t="shared" si="196"/>
        <v>11.34</v>
      </c>
      <c r="H192" s="65">
        <f t="shared" si="196"/>
        <v>10.26</v>
      </c>
      <c r="I192" s="20">
        <f t="shared" si="196"/>
        <v>9.18</v>
      </c>
      <c r="J192" s="20">
        <f t="shared" si="196"/>
        <v>8.1</v>
      </c>
      <c r="K192" s="20">
        <f t="shared" si="196"/>
        <v>7.02</v>
      </c>
      <c r="L192" s="20">
        <f t="shared" si="196"/>
        <v>5.9399999999999995</v>
      </c>
    </row>
    <row r="193" spans="1:12" x14ac:dyDescent="0.25">
      <c r="B193" t="str">
        <f>B169</f>
        <v xml:space="preserve">Short Term Debt Interest expense </v>
      </c>
      <c r="E193" s="20">
        <f>E169</f>
        <v>2.1349999999999998</v>
      </c>
      <c r="F193" s="20">
        <f t="shared" ref="F193:L193" si="197">F169</f>
        <v>2.1349999999999998</v>
      </c>
      <c r="G193" s="20">
        <f t="shared" si="197"/>
        <v>1.9824999999999999</v>
      </c>
      <c r="H193" s="65">
        <f t="shared" si="197"/>
        <v>1.83</v>
      </c>
      <c r="I193" s="20">
        <f t="shared" si="197"/>
        <v>1.83</v>
      </c>
      <c r="J193" s="20">
        <f t="shared" si="197"/>
        <v>1.83</v>
      </c>
      <c r="K193" s="20">
        <f t="shared" si="197"/>
        <v>1.83</v>
      </c>
      <c r="L193" s="20">
        <f t="shared" si="197"/>
        <v>1.83</v>
      </c>
    </row>
    <row r="194" spans="1:12" x14ac:dyDescent="0.25">
      <c r="B194" t="str">
        <f>B188</f>
        <v xml:space="preserve">Reolver Interest Expense </v>
      </c>
      <c r="E194" s="20">
        <f>E188</f>
        <v>0</v>
      </c>
      <c r="F194" s="20">
        <f t="shared" ref="F194:L194" si="198">F188</f>
        <v>0</v>
      </c>
      <c r="G194" s="20">
        <f t="shared" si="198"/>
        <v>0</v>
      </c>
      <c r="H194" s="65">
        <f t="shared" ca="1" si="198"/>
        <v>0</v>
      </c>
      <c r="I194" s="20">
        <f t="shared" si="198"/>
        <v>0</v>
      </c>
      <c r="J194" s="20">
        <f t="shared" si="198"/>
        <v>0</v>
      </c>
      <c r="K194" s="20">
        <f t="shared" si="198"/>
        <v>0</v>
      </c>
      <c r="L194" s="20">
        <f t="shared" si="198"/>
        <v>0</v>
      </c>
    </row>
    <row r="195" spans="1:12" ht="15.75" thickBot="1" x14ac:dyDescent="0.3">
      <c r="B195" t="str">
        <f>B189</f>
        <v>Revolver Continuence Fee</v>
      </c>
      <c r="E195" s="20">
        <f>E189</f>
        <v>0</v>
      </c>
      <c r="F195" s="20">
        <f t="shared" ref="F195:L195" si="199">F189</f>
        <v>0</v>
      </c>
      <c r="G195" s="20">
        <f t="shared" si="199"/>
        <v>0</v>
      </c>
      <c r="H195" s="65">
        <f t="shared" ca="1" si="199"/>
        <v>0</v>
      </c>
      <c r="I195" s="20">
        <f t="shared" si="199"/>
        <v>0</v>
      </c>
      <c r="J195" s="20">
        <f t="shared" si="199"/>
        <v>0</v>
      </c>
      <c r="K195" s="20">
        <f t="shared" si="199"/>
        <v>0</v>
      </c>
      <c r="L195" s="20">
        <f t="shared" si="199"/>
        <v>0</v>
      </c>
    </row>
    <row r="196" spans="1:12" x14ac:dyDescent="0.25">
      <c r="B196" s="5" t="s">
        <v>98</v>
      </c>
      <c r="E196" s="37">
        <f>SUM(E192:E195)</f>
        <v>15.635</v>
      </c>
      <c r="F196" s="37">
        <f t="shared" ref="F196:L196" si="200">SUM(F192:F195)</f>
        <v>14.555</v>
      </c>
      <c r="G196" s="37">
        <f t="shared" si="200"/>
        <v>13.3225</v>
      </c>
      <c r="H196" s="71">
        <f t="shared" ca="1" si="200"/>
        <v>12.09</v>
      </c>
      <c r="I196" s="37">
        <f t="shared" si="200"/>
        <v>11.01</v>
      </c>
      <c r="J196" s="37">
        <f t="shared" si="200"/>
        <v>9.93</v>
      </c>
      <c r="K196" s="37">
        <f t="shared" si="200"/>
        <v>8.85</v>
      </c>
      <c r="L196" s="37">
        <f t="shared" si="200"/>
        <v>7.77</v>
      </c>
    </row>
    <row r="199" spans="1:12" x14ac:dyDescent="0.25">
      <c r="A199" t="s">
        <v>19</v>
      </c>
      <c r="B199" s="2" t="s">
        <v>99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4.45" customHeight="1" x14ac:dyDescent="0.25">
      <c r="B200" s="86" t="s">
        <v>18</v>
      </c>
      <c r="C200" s="18"/>
      <c r="D200" s="18"/>
    </row>
    <row r="201" spans="1:12" ht="15.75" thickBot="1" x14ac:dyDescent="0.3">
      <c r="B201" s="86"/>
      <c r="C201" s="18"/>
      <c r="D201" s="18"/>
      <c r="E201" s="3">
        <f>DATE(2022,6,30)</f>
        <v>44742</v>
      </c>
      <c r="F201" s="3">
        <f>EDATE(E201,12)</f>
        <v>45107</v>
      </c>
      <c r="G201" s="3">
        <f t="shared" ref="G201" si="201">EDATE(F201,12)</f>
        <v>45473</v>
      </c>
      <c r="H201" s="4">
        <f t="shared" ref="H201" si="202">EDATE(G201,12)</f>
        <v>45838</v>
      </c>
      <c r="I201" s="4">
        <f t="shared" ref="I201" si="203">EDATE(H201,12)</f>
        <v>46203</v>
      </c>
      <c r="J201" s="4">
        <f t="shared" ref="J201" si="204">EDATE(I201,12)</f>
        <v>46568</v>
      </c>
      <c r="K201" s="4">
        <f t="shared" ref="K201" si="205">EDATE(J201,12)</f>
        <v>46934</v>
      </c>
      <c r="L201" s="4">
        <f t="shared" ref="L201" si="206">EDATE(K201,12)</f>
        <v>47299</v>
      </c>
    </row>
    <row r="202" spans="1:12" ht="15.75" thickBot="1" x14ac:dyDescent="0.3"/>
    <row r="203" spans="1:12" x14ac:dyDescent="0.25">
      <c r="B203" t="s">
        <v>21</v>
      </c>
      <c r="E203" s="38">
        <f>E35</f>
        <v>820.4</v>
      </c>
      <c r="F203" s="39">
        <f t="shared" ref="F203:L203" si="207">F35</f>
        <v>889.6</v>
      </c>
      <c r="G203" s="39">
        <f t="shared" si="207"/>
        <v>950.2</v>
      </c>
      <c r="H203" s="72">
        <f t="shared" si="207"/>
        <v>1011.963</v>
      </c>
      <c r="I203" s="39">
        <f t="shared" si="207"/>
        <v>1076.7286320000001</v>
      </c>
      <c r="J203" s="39">
        <f t="shared" si="207"/>
        <v>1148.8694503439999</v>
      </c>
      <c r="K203" s="39">
        <f t="shared" si="207"/>
        <v>1229.2903118680799</v>
      </c>
      <c r="L203" s="40">
        <f t="shared" si="207"/>
        <v>1317.7992143225817</v>
      </c>
    </row>
    <row r="204" spans="1:12" x14ac:dyDescent="0.25">
      <c r="B204" t="str">
        <f>B67</f>
        <v xml:space="preserve">PP&amp;E </v>
      </c>
      <c r="E204" s="35">
        <f>E67</f>
        <v>278</v>
      </c>
      <c r="F204" s="41">
        <f t="shared" ref="F204:G204" si="208">F67</f>
        <v>290.5</v>
      </c>
      <c r="G204" s="41">
        <f t="shared" si="208"/>
        <v>304.3</v>
      </c>
      <c r="H204" s="73">
        <f ca="1">H211</f>
        <v>318.54687168141595</v>
      </c>
      <c r="I204" s="41">
        <f t="shared" ref="I204:L204" ca="1" si="209">I211</f>
        <v>334.30703224904067</v>
      </c>
      <c r="J204" s="41">
        <f t="shared" ca="1" si="209"/>
        <v>351.76535576810682</v>
      </c>
      <c r="K204" s="41">
        <f t="shared" ca="1" si="209"/>
        <v>371.12948931048777</v>
      </c>
      <c r="L204" s="41">
        <f t="shared" ca="1" si="209"/>
        <v>392.5738461046281</v>
      </c>
    </row>
    <row r="205" spans="1:12" x14ac:dyDescent="0.25">
      <c r="B205" t="str">
        <f>B13</f>
        <v>Capital expenditure (As a % of Revenue)</v>
      </c>
      <c r="E205" s="27">
        <f>E13</f>
        <v>5.363237445148708E-2</v>
      </c>
      <c r="F205" s="28">
        <f t="shared" ref="F205:L205" si="210">F13</f>
        <v>5.5080935251798559E-2</v>
      </c>
      <c r="G205" s="28">
        <f t="shared" si="210"/>
        <v>5.5777731003999152E-2</v>
      </c>
      <c r="H205" s="80">
        <f t="shared" si="210"/>
        <v>5.5E-2</v>
      </c>
      <c r="I205" s="28">
        <f t="shared" si="210"/>
        <v>5.5E-2</v>
      </c>
      <c r="J205" s="28">
        <f t="shared" si="210"/>
        <v>5.5E-2</v>
      </c>
      <c r="K205" s="28">
        <f t="shared" si="210"/>
        <v>5.5E-2</v>
      </c>
      <c r="L205" s="29">
        <f t="shared" si="210"/>
        <v>5.5E-2</v>
      </c>
    </row>
    <row r="206" spans="1:12" ht="15.75" thickBot="1" x14ac:dyDescent="0.3">
      <c r="B206" t="str">
        <f>B10</f>
        <v>Depreciation (As a % of PP&amp;E)</v>
      </c>
      <c r="E206" s="24">
        <f>E10</f>
        <v>0.12686567164179105</v>
      </c>
      <c r="F206" s="25">
        <f t="shared" ref="F206:L206" si="211">F10</f>
        <v>0.13129496402877697</v>
      </c>
      <c r="G206" s="25">
        <f t="shared" si="211"/>
        <v>0.13493975903614458</v>
      </c>
      <c r="H206" s="78">
        <f t="shared" si="211"/>
        <v>0.13</v>
      </c>
      <c r="I206" s="25">
        <f t="shared" si="211"/>
        <v>0.13</v>
      </c>
      <c r="J206" s="25">
        <f t="shared" si="211"/>
        <v>0.13</v>
      </c>
      <c r="K206" s="25">
        <f t="shared" si="211"/>
        <v>0.13</v>
      </c>
      <c r="L206" s="26">
        <f t="shared" si="211"/>
        <v>0.13</v>
      </c>
    </row>
    <row r="208" spans="1:12" x14ac:dyDescent="0.25">
      <c r="B208" t="s">
        <v>100</v>
      </c>
      <c r="E208" s="20">
        <f>SUM(E209:E211)</f>
        <v>288</v>
      </c>
      <c r="F208" s="20">
        <f>E211</f>
        <v>278</v>
      </c>
      <c r="G208" s="20">
        <f>F211</f>
        <v>290.5</v>
      </c>
      <c r="H208" s="65">
        <f>G211</f>
        <v>304.3</v>
      </c>
      <c r="I208" s="20">
        <f t="shared" ref="I208:L208" ca="1" si="212">H211</f>
        <v>318.54687168141595</v>
      </c>
      <c r="J208" s="20">
        <f t="shared" ca="1" si="212"/>
        <v>334.30703224904067</v>
      </c>
      <c r="K208" s="20">
        <f t="shared" ca="1" si="212"/>
        <v>351.76535576810682</v>
      </c>
      <c r="L208" s="20">
        <f t="shared" ca="1" si="212"/>
        <v>371.12948931048777</v>
      </c>
    </row>
    <row r="209" spans="1:12" x14ac:dyDescent="0.25">
      <c r="B209" t="s">
        <v>101</v>
      </c>
      <c r="E209" s="20">
        <f>E112*-1</f>
        <v>44</v>
      </c>
      <c r="F209" s="20">
        <f>F112*-1</f>
        <v>49</v>
      </c>
      <c r="G209" s="20">
        <f>G112*-1</f>
        <v>53</v>
      </c>
      <c r="H209" s="65">
        <f>H205*H203</f>
        <v>55.657964999999997</v>
      </c>
      <c r="I209" s="20">
        <f t="shared" ref="I209:L209" si="213">I205*I203</f>
        <v>59.220074760000003</v>
      </c>
      <c r="J209" s="20">
        <f t="shared" si="213"/>
        <v>63.187819768919994</v>
      </c>
      <c r="K209" s="20">
        <f t="shared" si="213"/>
        <v>67.610967152744394</v>
      </c>
      <c r="L209" s="20">
        <f t="shared" si="213"/>
        <v>72.478956787741993</v>
      </c>
    </row>
    <row r="210" spans="1:12" ht="15.75" thickBot="1" x14ac:dyDescent="0.3">
      <c r="B210" t="s">
        <v>102</v>
      </c>
      <c r="E210" s="20">
        <f>E41</f>
        <v>-34</v>
      </c>
      <c r="F210" s="20">
        <f>F41</f>
        <v>-36.5</v>
      </c>
      <c r="G210" s="20">
        <f>G41</f>
        <v>-39.200000000000003</v>
      </c>
      <c r="H210" s="65">
        <f ca="1">-H206*H211</f>
        <v>-41.411093318584072</v>
      </c>
      <c r="I210" s="20">
        <f t="shared" ref="I210:L210" ca="1" si="214">-I206*I211</f>
        <v>-43.459914192375287</v>
      </c>
      <c r="J210" s="20">
        <f t="shared" ca="1" si="214"/>
        <v>-45.729496249853888</v>
      </c>
      <c r="K210" s="20">
        <f t="shared" ca="1" si="214"/>
        <v>-48.24683361036341</v>
      </c>
      <c r="L210" s="20">
        <f t="shared" ca="1" si="214"/>
        <v>-51.034599993601653</v>
      </c>
    </row>
    <row r="211" spans="1:12" x14ac:dyDescent="0.25">
      <c r="B211" t="s">
        <v>103</v>
      </c>
      <c r="E211" s="37">
        <f>E204</f>
        <v>278</v>
      </c>
      <c r="F211" s="37">
        <f>SUM(F208:F210)</f>
        <v>290.5</v>
      </c>
      <c r="G211" s="37">
        <f>SUM(G208:G210)</f>
        <v>304.3</v>
      </c>
      <c r="H211" s="71">
        <f ca="1">SUM(H208:H210)</f>
        <v>318.54687168141595</v>
      </c>
      <c r="I211" s="37">
        <f t="shared" ref="I211:L211" ca="1" si="215">SUM(I208:I210)</f>
        <v>334.30703224904067</v>
      </c>
      <c r="J211" s="37">
        <f t="shared" ca="1" si="215"/>
        <v>351.76535576810682</v>
      </c>
      <c r="K211" s="37">
        <f t="shared" ca="1" si="215"/>
        <v>371.12948931048777</v>
      </c>
      <c r="L211" s="37">
        <f t="shared" ca="1" si="215"/>
        <v>392.5738461046281</v>
      </c>
    </row>
    <row r="214" spans="1:12" x14ac:dyDescent="0.25">
      <c r="A214" t="s">
        <v>19</v>
      </c>
      <c r="B214" s="2" t="s">
        <v>104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4.45" customHeight="1" x14ac:dyDescent="0.25">
      <c r="B215" s="86" t="s">
        <v>18</v>
      </c>
      <c r="C215" s="18"/>
      <c r="D215" s="18"/>
    </row>
    <row r="216" spans="1:12" ht="15.75" thickBot="1" x14ac:dyDescent="0.3">
      <c r="B216" s="86"/>
      <c r="C216" s="18"/>
      <c r="D216" s="18"/>
      <c r="E216" s="3">
        <f>DATE(2022,6,30)</f>
        <v>44742</v>
      </c>
      <c r="F216" s="3">
        <f>EDATE(E216,12)</f>
        <v>45107</v>
      </c>
      <c r="G216" s="3">
        <f t="shared" ref="G216" si="216">EDATE(F216,12)</f>
        <v>45473</v>
      </c>
      <c r="H216" s="4">
        <f t="shared" ref="H216" si="217">EDATE(G216,12)</f>
        <v>45838</v>
      </c>
      <c r="I216" s="4">
        <f t="shared" ref="I216" si="218">EDATE(H216,12)</f>
        <v>46203</v>
      </c>
      <c r="J216" s="4">
        <f t="shared" ref="J216" si="219">EDATE(I216,12)</f>
        <v>46568</v>
      </c>
      <c r="K216" s="4">
        <f t="shared" ref="K216" si="220">EDATE(J216,12)</f>
        <v>46934</v>
      </c>
      <c r="L216" s="4">
        <f t="shared" ref="L216" si="221">EDATE(K216,12)</f>
        <v>47299</v>
      </c>
    </row>
    <row r="218" spans="1:12" ht="15.75" thickBot="1" x14ac:dyDescent="0.3"/>
    <row r="219" spans="1:12" x14ac:dyDescent="0.25">
      <c r="B219" t="s">
        <v>105</v>
      </c>
      <c r="E219" s="46" t="s">
        <v>121</v>
      </c>
      <c r="F219" s="33">
        <f>F28</f>
        <v>4.8214285714285682E-2</v>
      </c>
      <c r="G219" s="33">
        <f t="shared" ref="G219:L219" si="222">G28</f>
        <v>3.9182282793867151E-2</v>
      </c>
      <c r="H219" s="81">
        <f t="shared" si="222"/>
        <v>0.04</v>
      </c>
      <c r="I219" s="33">
        <f t="shared" si="222"/>
        <v>4.4999999999999998E-2</v>
      </c>
      <c r="J219" s="33">
        <f t="shared" si="222"/>
        <v>3.5000000000000003E-2</v>
      </c>
      <c r="K219" s="33">
        <f t="shared" si="222"/>
        <v>0.05</v>
      </c>
      <c r="L219" s="34">
        <f t="shared" si="222"/>
        <v>3.2500000000000001E-2</v>
      </c>
    </row>
    <row r="220" spans="1:12" x14ac:dyDescent="0.25">
      <c r="B220" t="s">
        <v>106</v>
      </c>
      <c r="E220" s="35">
        <f>E203</f>
        <v>820.4</v>
      </c>
      <c r="F220" s="41">
        <f t="shared" ref="F220:L220" si="223">F203</f>
        <v>889.6</v>
      </c>
      <c r="G220" s="41">
        <f t="shared" si="223"/>
        <v>950.2</v>
      </c>
      <c r="H220" s="73">
        <f t="shared" si="223"/>
        <v>1011.963</v>
      </c>
      <c r="I220" s="41">
        <f t="shared" si="223"/>
        <v>1076.7286320000001</v>
      </c>
      <c r="J220" s="41">
        <f t="shared" si="223"/>
        <v>1148.8694503439999</v>
      </c>
      <c r="K220" s="41">
        <f t="shared" si="223"/>
        <v>1229.2903118680799</v>
      </c>
      <c r="L220" s="42">
        <f t="shared" si="223"/>
        <v>1317.7992143225817</v>
      </c>
    </row>
    <row r="221" spans="1:12" x14ac:dyDescent="0.25">
      <c r="B221" t="str">
        <f>B7</f>
        <v>Gross Margin</v>
      </c>
      <c r="E221" s="27">
        <f>E7</f>
        <v>0.42003900536323741</v>
      </c>
      <c r="F221" s="28">
        <f t="shared" ref="F221:L221" si="224">F7</f>
        <v>0.42603417266187049</v>
      </c>
      <c r="G221" s="28">
        <f t="shared" si="224"/>
        <v>0.43096190275731422</v>
      </c>
      <c r="H221" s="80">
        <f t="shared" si="224"/>
        <v>0.42499999999999999</v>
      </c>
      <c r="I221" s="28">
        <f t="shared" si="224"/>
        <v>0.42499999999999999</v>
      </c>
      <c r="J221" s="28">
        <f t="shared" si="224"/>
        <v>0.42499999999999999</v>
      </c>
      <c r="K221" s="28">
        <f t="shared" si="224"/>
        <v>0.42499999999999999</v>
      </c>
      <c r="L221" s="29">
        <f t="shared" si="224"/>
        <v>0.42499999999999999</v>
      </c>
    </row>
    <row r="222" spans="1:12" x14ac:dyDescent="0.25">
      <c r="B222" t="str">
        <f>B8</f>
        <v>SG&amp;A (Adjustted for Inflation)</v>
      </c>
      <c r="E222" s="35">
        <f>E8</f>
        <v>168</v>
      </c>
      <c r="F222" s="41">
        <f t="shared" ref="F222:G222" si="225">F8</f>
        <v>176.1</v>
      </c>
      <c r="G222" s="41">
        <f t="shared" si="225"/>
        <v>183</v>
      </c>
      <c r="H222" s="73">
        <f>H226</f>
        <v>190.32</v>
      </c>
      <c r="I222" s="41">
        <f t="shared" ref="I222:L222" si="226">I226</f>
        <v>198.88439999999997</v>
      </c>
      <c r="J222" s="41">
        <f t="shared" si="226"/>
        <v>205.84535399999996</v>
      </c>
      <c r="K222" s="41">
        <f t="shared" si="226"/>
        <v>216.13762169999995</v>
      </c>
      <c r="L222" s="41">
        <f t="shared" si="226"/>
        <v>223.16209440524995</v>
      </c>
    </row>
    <row r="223" spans="1:12" ht="15.75" thickBot="1" x14ac:dyDescent="0.3">
      <c r="B223" t="str">
        <f>B9</f>
        <v>R&amp;D (As a % of revenue)</v>
      </c>
      <c r="E223" s="24">
        <f>E9</f>
        <v>6.9965870307167236E-2</v>
      </c>
      <c r="F223" s="25">
        <f t="shared" ref="F223:L223" si="227">F9</f>
        <v>7.003147482014388E-2</v>
      </c>
      <c r="G223" s="25">
        <f t="shared" si="227"/>
        <v>7.1037676278678172E-2</v>
      </c>
      <c r="H223" s="78">
        <f t="shared" si="227"/>
        <v>7.0000000000000007E-2</v>
      </c>
      <c r="I223" s="25">
        <f t="shared" si="227"/>
        <v>7.0000000000000007E-2</v>
      </c>
      <c r="J223" s="25">
        <f t="shared" si="227"/>
        <v>7.0000000000000007E-2</v>
      </c>
      <c r="K223" s="25">
        <f t="shared" si="227"/>
        <v>7.0000000000000007E-2</v>
      </c>
      <c r="L223" s="26">
        <f t="shared" si="227"/>
        <v>7.0000000000000007E-2</v>
      </c>
    </row>
    <row r="225" spans="1:12" x14ac:dyDescent="0.25">
      <c r="B225" t="s">
        <v>107</v>
      </c>
      <c r="E225" s="20">
        <f>E36*-1</f>
        <v>475.8</v>
      </c>
      <c r="F225" s="20">
        <f t="shared" ref="F225:G225" si="228">F36*-1</f>
        <v>510.6</v>
      </c>
      <c r="G225" s="20">
        <f t="shared" si="228"/>
        <v>540.70000000000005</v>
      </c>
      <c r="H225" s="65">
        <f>(1-H221)*H220</f>
        <v>581.87872499999992</v>
      </c>
      <c r="I225" s="20">
        <f t="shared" ref="I225:L225" si="229">(1-I221)*I220</f>
        <v>619.11896339999998</v>
      </c>
      <c r="J225" s="20">
        <f t="shared" si="229"/>
        <v>660.59993394779985</v>
      </c>
      <c r="K225" s="20">
        <f t="shared" si="229"/>
        <v>706.84192932414589</v>
      </c>
      <c r="L225" s="20">
        <f t="shared" si="229"/>
        <v>757.73454823548445</v>
      </c>
    </row>
    <row r="226" spans="1:12" x14ac:dyDescent="0.25">
      <c r="B226" t="s">
        <v>24</v>
      </c>
      <c r="E226" s="20">
        <f>E222</f>
        <v>168</v>
      </c>
      <c r="F226" s="20">
        <f t="shared" ref="F226:G226" si="230">F222</f>
        <v>176.1</v>
      </c>
      <c r="G226" s="20">
        <f t="shared" si="230"/>
        <v>183</v>
      </c>
      <c r="H226" s="65">
        <f>(1+H219)*G226</f>
        <v>190.32</v>
      </c>
      <c r="I226" s="20">
        <f t="shared" ref="I226:L226" si="231">(1+I219)*H226</f>
        <v>198.88439999999997</v>
      </c>
      <c r="J226" s="20">
        <f t="shared" si="231"/>
        <v>205.84535399999996</v>
      </c>
      <c r="K226" s="20">
        <f t="shared" si="231"/>
        <v>216.13762169999995</v>
      </c>
      <c r="L226" s="20">
        <f t="shared" si="231"/>
        <v>223.16209440524995</v>
      </c>
    </row>
    <row r="227" spans="1:12" x14ac:dyDescent="0.25">
      <c r="B227" t="s">
        <v>25</v>
      </c>
      <c r="E227" s="20">
        <f>E40*-1</f>
        <v>57.4</v>
      </c>
      <c r="F227" s="20">
        <f t="shared" ref="F227:G227" si="232">F40*-1</f>
        <v>62.3</v>
      </c>
      <c r="G227" s="20">
        <f t="shared" si="232"/>
        <v>67.5</v>
      </c>
      <c r="H227" s="65">
        <f>H223*H220</f>
        <v>70.837410000000006</v>
      </c>
      <c r="I227" s="20">
        <f t="shared" ref="I227:L227" si="233">I223*I220</f>
        <v>75.371004240000005</v>
      </c>
      <c r="J227" s="20">
        <f t="shared" si="233"/>
        <v>80.420861524079996</v>
      </c>
      <c r="K227" s="20">
        <f t="shared" si="233"/>
        <v>86.050321830765597</v>
      </c>
      <c r="L227" s="20">
        <f t="shared" si="233"/>
        <v>92.245945002580726</v>
      </c>
    </row>
    <row r="230" spans="1:12" x14ac:dyDescent="0.25">
      <c r="A230" t="s">
        <v>19</v>
      </c>
      <c r="B230" s="2" t="s">
        <v>108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4.45" customHeight="1" x14ac:dyDescent="0.25">
      <c r="B231" s="86" t="s">
        <v>18</v>
      </c>
      <c r="C231" s="18"/>
      <c r="D231" s="18"/>
    </row>
    <row r="232" spans="1:12" ht="15.75" thickBot="1" x14ac:dyDescent="0.3">
      <c r="B232" s="86"/>
      <c r="C232" s="18"/>
      <c r="D232" s="18"/>
      <c r="E232" s="3">
        <f>DATE(2022,6,30)</f>
        <v>44742</v>
      </c>
      <c r="F232" s="3">
        <f>EDATE(E232,12)</f>
        <v>45107</v>
      </c>
      <c r="G232" s="3">
        <f t="shared" ref="G232" si="234">EDATE(F232,12)</f>
        <v>45473</v>
      </c>
      <c r="H232" s="4">
        <f t="shared" ref="H232" si="235">EDATE(G232,12)</f>
        <v>45838</v>
      </c>
      <c r="I232" s="4">
        <f t="shared" ref="I232" si="236">EDATE(H232,12)</f>
        <v>46203</v>
      </c>
      <c r="J232" s="4">
        <f t="shared" ref="J232" si="237">EDATE(I232,12)</f>
        <v>46568</v>
      </c>
      <c r="K232" s="4">
        <f t="shared" ref="K232" si="238">EDATE(J232,12)</f>
        <v>46934</v>
      </c>
      <c r="L232" s="4">
        <f t="shared" ref="L232" si="239">EDATE(K232,12)</f>
        <v>47299</v>
      </c>
    </row>
    <row r="234" spans="1:12" x14ac:dyDescent="0.25">
      <c r="B234" t="s">
        <v>109</v>
      </c>
      <c r="E234" s="20">
        <f>E27</f>
        <v>180</v>
      </c>
      <c r="F234" s="20">
        <f t="shared" ref="F234:H234" si="240">F27</f>
        <v>180</v>
      </c>
      <c r="G234" s="20">
        <f t="shared" si="240"/>
        <v>180</v>
      </c>
      <c r="H234" s="65">
        <f t="shared" si="240"/>
        <v>172</v>
      </c>
      <c r="I234" s="20">
        <f>H236</f>
        <v>172</v>
      </c>
      <c r="J234" s="20">
        <f t="shared" ref="J234:L234" si="241">I236</f>
        <v>172</v>
      </c>
      <c r="K234" s="20">
        <f t="shared" si="241"/>
        <v>172</v>
      </c>
      <c r="L234" s="20">
        <f t="shared" si="241"/>
        <v>172</v>
      </c>
    </row>
    <row r="235" spans="1:12" ht="15.75" thickBot="1" x14ac:dyDescent="0.3">
      <c r="B235" t="str">
        <f>B118</f>
        <v xml:space="preserve">Offering/ (Buyback) in Common Equity </v>
      </c>
      <c r="E235" s="20">
        <f>E236-E234</f>
        <v>0</v>
      </c>
      <c r="F235" s="20">
        <f t="shared" ref="F235:G235" si="242">F236-F234</f>
        <v>0</v>
      </c>
      <c r="G235" s="20">
        <f t="shared" si="242"/>
        <v>-8</v>
      </c>
      <c r="H235" s="65">
        <v>0</v>
      </c>
      <c r="I235" s="20">
        <v>0</v>
      </c>
      <c r="J235" s="20">
        <v>0</v>
      </c>
      <c r="K235" s="20">
        <v>0</v>
      </c>
      <c r="L235" s="20">
        <v>0</v>
      </c>
    </row>
    <row r="236" spans="1:12" x14ac:dyDescent="0.25">
      <c r="B236" t="s">
        <v>110</v>
      </c>
      <c r="E236" s="37">
        <f>F234</f>
        <v>180</v>
      </c>
      <c r="F236" s="37">
        <f t="shared" ref="F236:G236" si="243">G234</f>
        <v>180</v>
      </c>
      <c r="G236" s="37">
        <f t="shared" si="243"/>
        <v>172</v>
      </c>
      <c r="H236" s="71">
        <f>SUM(H234:H235)</f>
        <v>172</v>
      </c>
      <c r="I236" s="37">
        <f t="shared" ref="I236:L236" si="244">SUM(I234:I235)</f>
        <v>172</v>
      </c>
      <c r="J236" s="37">
        <f t="shared" si="244"/>
        <v>172</v>
      </c>
      <c r="K236" s="37">
        <f t="shared" si="244"/>
        <v>172</v>
      </c>
      <c r="L236" s="37">
        <f t="shared" si="244"/>
        <v>172</v>
      </c>
    </row>
    <row r="237" spans="1:12" x14ac:dyDescent="0.25">
      <c r="E237" s="20"/>
      <c r="F237" s="20"/>
      <c r="G237" s="20"/>
      <c r="H237" s="20"/>
      <c r="I237" s="20"/>
      <c r="J237" s="20"/>
      <c r="K237" s="20"/>
      <c r="L237" s="20"/>
    </row>
    <row r="238" spans="1:12" x14ac:dyDescent="0.25">
      <c r="B238" t="s">
        <v>111</v>
      </c>
      <c r="E238" s="20">
        <f>SUM(E239:E241)</f>
        <v>297.59999999999991</v>
      </c>
      <c r="F238" s="20">
        <f>E241</f>
        <v>264.89999999999998</v>
      </c>
      <c r="G238" s="20">
        <f t="shared" ref="G238:L238" si="245">F241</f>
        <v>309.59999999999997</v>
      </c>
      <c r="H238" s="65">
        <f t="shared" si="245"/>
        <v>365.29999999999995</v>
      </c>
      <c r="I238" s="20">
        <f t="shared" ca="1" si="245"/>
        <v>424.72370209024382</v>
      </c>
      <c r="J238" s="20">
        <f t="shared" ca="1" si="245"/>
        <v>491.10595724391158</v>
      </c>
      <c r="K238" s="20">
        <f t="shared" ca="1" si="245"/>
        <v>566.50532423879145</v>
      </c>
      <c r="L238" s="20">
        <f t="shared" ca="1" si="245"/>
        <v>650.60168632114573</v>
      </c>
    </row>
    <row r="239" spans="1:12" x14ac:dyDescent="0.25">
      <c r="B239" t="s">
        <v>32</v>
      </c>
      <c r="E239" s="20">
        <f>E49</f>
        <v>54.299999999999962</v>
      </c>
      <c r="F239" s="20">
        <f t="shared" ref="F239:L239" si="246">F49</f>
        <v>69.500000000000014</v>
      </c>
      <c r="G239" s="20">
        <f t="shared" si="246"/>
        <v>83.1</v>
      </c>
      <c r="H239" s="65">
        <f t="shared" ca="1" si="246"/>
        <v>88.692092672005742</v>
      </c>
      <c r="I239" s="20">
        <f t="shared" ca="1" si="246"/>
        <v>99.077992766668331</v>
      </c>
      <c r="J239" s="20">
        <f t="shared" ca="1" si="246"/>
        <v>112.5363686490745</v>
      </c>
      <c r="K239" s="20">
        <f t="shared" ca="1" si="246"/>
        <v>125.51695833187217</v>
      </c>
      <c r="L239" s="20">
        <f t="shared" ca="1" si="246"/>
        <v>142.99553194456038</v>
      </c>
    </row>
    <row r="240" spans="1:12" ht="15.75" thickBot="1" x14ac:dyDescent="0.3">
      <c r="B240" t="s">
        <v>33</v>
      </c>
      <c r="E240" s="20">
        <f>E51</f>
        <v>-21.6</v>
      </c>
      <c r="F240" s="20">
        <f t="shared" ref="F240:L240" si="247">F51</f>
        <v>-24.8</v>
      </c>
      <c r="G240" s="20">
        <f t="shared" si="247"/>
        <v>-27.4</v>
      </c>
      <c r="H240" s="65">
        <f t="shared" ca="1" si="247"/>
        <v>-29.268390581761896</v>
      </c>
      <c r="I240" s="20">
        <f t="shared" ca="1" si="247"/>
        <v>-32.695737613000553</v>
      </c>
      <c r="J240" s="20">
        <f t="shared" ca="1" si="247"/>
        <v>-37.137001654194592</v>
      </c>
      <c r="K240" s="20">
        <f t="shared" ca="1" si="247"/>
        <v>-41.420596249517821</v>
      </c>
      <c r="L240" s="20">
        <f t="shared" ca="1" si="247"/>
        <v>-47.188525541704927</v>
      </c>
    </row>
    <row r="241" spans="1:12" x14ac:dyDescent="0.25">
      <c r="B241" t="s">
        <v>112</v>
      </c>
      <c r="E241" s="37">
        <f>E89</f>
        <v>264.89999999999998</v>
      </c>
      <c r="F241" s="37">
        <f>SUM(F238:F240)</f>
        <v>309.59999999999997</v>
      </c>
      <c r="G241" s="37">
        <f>SUM(G238:G240)</f>
        <v>365.29999999999995</v>
      </c>
      <c r="H241" s="71">
        <f ca="1">SUM(H238:H240)</f>
        <v>424.72370209024382</v>
      </c>
      <c r="I241" s="37">
        <f t="shared" ref="I241:L241" ca="1" si="248">SUM(I238:I240)</f>
        <v>491.10595724391158</v>
      </c>
      <c r="J241" s="37">
        <f t="shared" ca="1" si="248"/>
        <v>566.50532423879145</v>
      </c>
      <c r="K241" s="37">
        <f t="shared" ca="1" si="248"/>
        <v>650.60168632114573</v>
      </c>
      <c r="L241" s="37">
        <f t="shared" ca="1" si="248"/>
        <v>746.40869272400118</v>
      </c>
    </row>
    <row r="244" spans="1:12" x14ac:dyDescent="0.25">
      <c r="A244" t="s">
        <v>19</v>
      </c>
      <c r="B244" s="2" t="s">
        <v>123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B245" s="86" t="s">
        <v>18</v>
      </c>
      <c r="C245" s="18"/>
      <c r="D245" s="18"/>
    </row>
    <row r="246" spans="1:12" ht="15.75" thickBot="1" x14ac:dyDescent="0.3">
      <c r="B246" s="86"/>
      <c r="C246" s="18"/>
      <c r="D246" s="18"/>
      <c r="E246" s="3">
        <f>DATE(2022,6,30)</f>
        <v>44742</v>
      </c>
      <c r="F246" s="3">
        <f>EDATE(E246,12)</f>
        <v>45107</v>
      </c>
      <c r="G246" s="3">
        <f t="shared" ref="G246" si="249">EDATE(F246,12)</f>
        <v>45473</v>
      </c>
      <c r="H246" s="4">
        <f t="shared" ref="H246" si="250">EDATE(G246,12)</f>
        <v>45838</v>
      </c>
      <c r="I246" s="4">
        <f t="shared" ref="I246" si="251">EDATE(H246,12)</f>
        <v>46203</v>
      </c>
      <c r="J246" s="4">
        <f t="shared" ref="J246" si="252">EDATE(I246,12)</f>
        <v>46568</v>
      </c>
      <c r="K246" s="4">
        <f t="shared" ref="K246" si="253">EDATE(J246,12)</f>
        <v>46934</v>
      </c>
      <c r="L246" s="4">
        <f t="shared" ref="L246" si="254">EDATE(K246,12)</f>
        <v>47299</v>
      </c>
    </row>
    <row r="247" spans="1:12" ht="15.75" thickBot="1" x14ac:dyDescent="0.3"/>
    <row r="248" spans="1:12" x14ac:dyDescent="0.25">
      <c r="B248" t="s">
        <v>79</v>
      </c>
      <c r="E248" s="38">
        <v>-11.100000000000051</v>
      </c>
      <c r="F248" s="39">
        <v>-6.1999999999999744</v>
      </c>
      <c r="G248" s="39">
        <v>-9.1000000000000227</v>
      </c>
      <c r="H248" s="72">
        <v>18.270051086740239</v>
      </c>
      <c r="I248" s="39">
        <v>23.145855530062448</v>
      </c>
      <c r="J248" s="39">
        <v>26.641117332755826</v>
      </c>
      <c r="K248" s="39">
        <v>25.343379927279415</v>
      </c>
      <c r="L248" s="40">
        <v>36.59699841869957</v>
      </c>
    </row>
    <row r="249" spans="1:12" x14ac:dyDescent="0.25">
      <c r="B249" t="s">
        <v>80</v>
      </c>
      <c r="E249" s="35">
        <v>144.69999999999999</v>
      </c>
      <c r="F249" s="41">
        <v>133.59999999999994</v>
      </c>
      <c r="G249" s="41">
        <v>127.39999999999996</v>
      </c>
      <c r="H249" s="73">
        <v>118.29999999999994</v>
      </c>
      <c r="I249" s="41">
        <v>136.57005108674019</v>
      </c>
      <c r="J249" s="41">
        <v>159.71590661680264</v>
      </c>
      <c r="K249" s="41">
        <v>186.35702394955848</v>
      </c>
      <c r="L249" s="42">
        <v>211.7004038768379</v>
      </c>
    </row>
    <row r="250" spans="1:12" x14ac:dyDescent="0.25">
      <c r="B250" t="s">
        <v>81</v>
      </c>
      <c r="E250" s="35">
        <v>133.59999999999994</v>
      </c>
      <c r="F250" s="41">
        <v>127.39999999999996</v>
      </c>
      <c r="G250" s="41">
        <v>118.29999999999994</v>
      </c>
      <c r="H250" s="73">
        <v>136.57005108674019</v>
      </c>
      <c r="I250" s="41">
        <v>159.71590661680264</v>
      </c>
      <c r="J250" s="41">
        <v>186.35702394955848</v>
      </c>
      <c r="K250" s="41">
        <v>211.7004038768379</v>
      </c>
      <c r="L250" s="42">
        <v>248.29740229553747</v>
      </c>
    </row>
    <row r="251" spans="1:12" ht="15.75" thickBot="1" x14ac:dyDescent="0.3">
      <c r="B251" t="s">
        <v>124</v>
      </c>
      <c r="E251" s="51">
        <f>E253/AVERAGE(E249,E250)</f>
        <v>6.4678404599353232E-3</v>
      </c>
      <c r="F251" s="52">
        <f>F253/AVERAGE(F249,F250)</f>
        <v>9.9616858237547932E-3</v>
      </c>
      <c r="G251" s="52">
        <f t="shared" ref="G251" si="255">G253/AVERAGE(G249,G250)</f>
        <v>1.6280016280016286E-2</v>
      </c>
      <c r="H251" s="82">
        <v>0.01</v>
      </c>
      <c r="I251" s="47">
        <v>0.01</v>
      </c>
      <c r="J251" s="47">
        <v>0.01</v>
      </c>
      <c r="K251" s="47">
        <v>0.01</v>
      </c>
      <c r="L251" s="48">
        <v>0.01</v>
      </c>
    </row>
    <row r="252" spans="1:12" ht="15.75" thickBot="1" x14ac:dyDescent="0.3"/>
    <row r="253" spans="1:12" ht="15.75" thickBot="1" x14ac:dyDescent="0.3">
      <c r="B253" t="s">
        <v>125</v>
      </c>
      <c r="E253" s="53">
        <f>E45</f>
        <v>0.9</v>
      </c>
      <c r="F253" s="54">
        <f t="shared" ref="F253:G253" si="256">F45</f>
        <v>1.3</v>
      </c>
      <c r="G253" s="54">
        <f t="shared" si="256"/>
        <v>2</v>
      </c>
      <c r="H253" s="83">
        <f t="shared" ref="H253:L253" si="257">H251*AVERAGE(H249,H250)</f>
        <v>1.2743502554337007</v>
      </c>
      <c r="I253" s="49">
        <f t="shared" si="257"/>
        <v>1.4814297885177143</v>
      </c>
      <c r="J253" s="49">
        <f t="shared" si="257"/>
        <v>1.7303646528318057</v>
      </c>
      <c r="K253" s="49">
        <f t="shared" si="257"/>
        <v>1.9902871391319821</v>
      </c>
      <c r="L253" s="50">
        <f t="shared" si="257"/>
        <v>2.2999890308618767</v>
      </c>
    </row>
  </sheetData>
  <mergeCells count="11">
    <mergeCell ref="B149:B150"/>
    <mergeCell ref="B3:B4"/>
    <mergeCell ref="B32:B33"/>
    <mergeCell ref="B57:B58"/>
    <mergeCell ref="B98:B99"/>
    <mergeCell ref="B128:B129"/>
    <mergeCell ref="B245:B246"/>
    <mergeCell ref="B173:B174"/>
    <mergeCell ref="B200:B201"/>
    <mergeCell ref="B215:B216"/>
    <mergeCell ref="B231:B2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Schwochow</dc:creator>
  <cp:lastModifiedBy>Cole Schwochow</cp:lastModifiedBy>
  <dcterms:created xsi:type="dcterms:W3CDTF">2026-09-02T20:35:41Z</dcterms:created>
  <dcterms:modified xsi:type="dcterms:W3CDTF">2026-09-03T20:02:18Z</dcterms:modified>
</cp:coreProperties>
</file>