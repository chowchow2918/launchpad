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aa0631eace9/Documents/"/>
    </mc:Choice>
  </mc:AlternateContent>
  <xr:revisionPtr revIDLastSave="277" documentId="8_{A614BF80-8DE3-4B91-9FBF-C19BDD3E0A54}" xr6:coauthVersionLast="47" xr6:coauthVersionMax="47" xr10:uidLastSave="{0FA72E73-F918-4C01-B37C-1F44B6D956CC}"/>
  <bookViews>
    <workbookView xWindow="-120" yWindow="-120" windowWidth="29040" windowHeight="15840" xr2:uid="{1C4463BF-2B3B-43C6-A6A5-50E196353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7" i="1" l="1"/>
  <c r="B166" i="1"/>
  <c r="B153" i="1"/>
  <c r="B152" i="1"/>
  <c r="B151" i="1"/>
  <c r="B141" i="1"/>
  <c r="B139" i="1"/>
  <c r="E177" i="1"/>
  <c r="F177" i="1" s="1"/>
  <c r="G177" i="1" s="1"/>
  <c r="H177" i="1" s="1"/>
  <c r="I177" i="1" s="1"/>
  <c r="J177" i="1" s="1"/>
  <c r="K177" i="1" s="1"/>
  <c r="L177" i="1" s="1"/>
  <c r="E163" i="1"/>
  <c r="F163" i="1" s="1"/>
  <c r="G163" i="1" s="1"/>
  <c r="H163" i="1" s="1"/>
  <c r="I163" i="1" s="1"/>
  <c r="J163" i="1" s="1"/>
  <c r="K163" i="1" s="1"/>
  <c r="L163" i="1" s="1"/>
  <c r="E149" i="1"/>
  <c r="F149" i="1" s="1"/>
  <c r="G149" i="1" s="1"/>
  <c r="H149" i="1" s="1"/>
  <c r="I149" i="1" s="1"/>
  <c r="J149" i="1" s="1"/>
  <c r="K149" i="1" s="1"/>
  <c r="L149" i="1" s="1"/>
  <c r="E137" i="1"/>
  <c r="F137" i="1" s="1"/>
  <c r="G137" i="1" s="1"/>
  <c r="H137" i="1" s="1"/>
  <c r="I137" i="1" s="1"/>
  <c r="J137" i="1" s="1"/>
  <c r="K137" i="1" s="1"/>
  <c r="L137" i="1" s="1"/>
  <c r="E121" i="1"/>
  <c r="F121" i="1" s="1"/>
  <c r="G121" i="1" s="1"/>
  <c r="H121" i="1" s="1"/>
  <c r="I121" i="1" s="1"/>
  <c r="J121" i="1" s="1"/>
  <c r="K121" i="1" s="1"/>
  <c r="L121" i="1" s="1"/>
  <c r="E92" i="1"/>
  <c r="F92" i="1" s="1"/>
  <c r="G92" i="1" s="1"/>
  <c r="H92" i="1" s="1"/>
  <c r="I92" i="1" s="1"/>
  <c r="J92" i="1" s="1"/>
  <c r="K92" i="1" s="1"/>
  <c r="L92" i="1" s="1"/>
  <c r="E50" i="1"/>
  <c r="F50" i="1" s="1"/>
  <c r="G50" i="1" s="1"/>
  <c r="H50" i="1" s="1"/>
  <c r="I50" i="1" s="1"/>
  <c r="J50" i="1" s="1"/>
  <c r="K50" i="1" s="1"/>
  <c r="L50" i="1" s="1"/>
  <c r="E25" i="1"/>
  <c r="F25" i="1" s="1"/>
  <c r="G25" i="1" s="1"/>
  <c r="H25" i="1" s="1"/>
  <c r="I25" i="1" s="1"/>
  <c r="J25" i="1" s="1"/>
  <c r="K25" i="1" s="1"/>
  <c r="L25" i="1" s="1"/>
  <c r="E4" i="1"/>
  <c r="F4" i="1" s="1"/>
  <c r="G4" i="1" s="1"/>
  <c r="H4" i="1" s="1"/>
  <c r="I4" i="1" s="1"/>
  <c r="J4" i="1" s="1"/>
  <c r="K4" i="1" s="1"/>
  <c r="L4" i="1" s="1"/>
</calcChain>
</file>

<file path=xl/sharedStrings.xml><?xml version="1.0" encoding="utf-8"?>
<sst xmlns="http://schemas.openxmlformats.org/spreadsheetml/2006/main" count="124" uniqueCount="99">
  <si>
    <t>Assumptions and Drivers</t>
  </si>
  <si>
    <t>Revenue Growth %</t>
  </si>
  <si>
    <t xml:space="preserve">Gross Margin </t>
  </si>
  <si>
    <t>SG&amp;A (Set Amount)</t>
  </si>
  <si>
    <t>R&amp;A ((As a % of Revenue)</t>
  </si>
  <si>
    <t>Depreciation (As a % of PP&amp;E)</t>
  </si>
  <si>
    <t>CapEx (As a % of revenue)</t>
  </si>
  <si>
    <t>Accounts Recieveable Days</t>
  </si>
  <si>
    <t xml:space="preserve">Inventory Days </t>
  </si>
  <si>
    <t xml:space="preserve">Accounts Payable Days </t>
  </si>
  <si>
    <t xml:space="preserve">Income Tax payable </t>
  </si>
  <si>
    <t>Effective Tax Rate</t>
  </si>
  <si>
    <t xml:space="preserve">Debt Interest Rate </t>
  </si>
  <si>
    <t>Beginning Equity</t>
  </si>
  <si>
    <t xml:space="preserve">Begining Debt  </t>
  </si>
  <si>
    <t>Dividends (As a % of Net Income)</t>
  </si>
  <si>
    <t xml:space="preserve">All figures are in Millions of $ (USD), unless stated differently </t>
  </si>
  <si>
    <t xml:space="preserve">Income Statement </t>
  </si>
  <si>
    <t xml:space="preserve">Revenue </t>
  </si>
  <si>
    <t>COGS</t>
  </si>
  <si>
    <t>Gross Profits</t>
  </si>
  <si>
    <t>SG&amp;A</t>
  </si>
  <si>
    <t>R&amp;A</t>
  </si>
  <si>
    <t>Deprectiation</t>
  </si>
  <si>
    <t xml:space="preserve">EBIT </t>
  </si>
  <si>
    <t xml:space="preserve">Interest Expense </t>
  </si>
  <si>
    <t>Interest Income</t>
  </si>
  <si>
    <t xml:space="preserve">EBT </t>
  </si>
  <si>
    <t>Taxes</t>
  </si>
  <si>
    <t xml:space="preserve">Net Income </t>
  </si>
  <si>
    <t xml:space="preserve">Dividends </t>
  </si>
  <si>
    <t xml:space="preserve">Retained Earnings </t>
  </si>
  <si>
    <t>Balance Sheet</t>
  </si>
  <si>
    <t xml:space="preserve">Current Assets </t>
  </si>
  <si>
    <t>Cash and Cash Equivilants</t>
  </si>
  <si>
    <t xml:space="preserve">Account Recieveable </t>
  </si>
  <si>
    <t xml:space="preserve">Inventory </t>
  </si>
  <si>
    <t xml:space="preserve">Total Current Assets </t>
  </si>
  <si>
    <t xml:space="preserve">Non-current Assets </t>
  </si>
  <si>
    <t>PP&amp;E</t>
  </si>
  <si>
    <t xml:space="preserve">Intangibles </t>
  </si>
  <si>
    <t>Goodwill</t>
  </si>
  <si>
    <t xml:space="preserve">Total Non-current Assets </t>
  </si>
  <si>
    <t xml:space="preserve">Total Assets </t>
  </si>
  <si>
    <t>Current Liabilities</t>
  </si>
  <si>
    <t xml:space="preserve">Accounts Payable </t>
  </si>
  <si>
    <t xml:space="preserve">Short-Term Debt </t>
  </si>
  <si>
    <t xml:space="preserve">Revolver </t>
  </si>
  <si>
    <t xml:space="preserve">Income Taxes Payable </t>
  </si>
  <si>
    <t>Total Current Liabilites</t>
  </si>
  <si>
    <t>Non-current Liabilities</t>
  </si>
  <si>
    <t>Long-Term Debt</t>
  </si>
  <si>
    <t>Total non-current Liabilities</t>
  </si>
  <si>
    <t>Total Liabilities</t>
  </si>
  <si>
    <t xml:space="preserve">Shareholder equity </t>
  </si>
  <si>
    <t>Share Capital</t>
  </si>
  <si>
    <t xml:space="preserve">Total Shareholder Equity </t>
  </si>
  <si>
    <t xml:space="preserve">Total Liabilities &amp; Shareholder Equity </t>
  </si>
  <si>
    <t xml:space="preserve">Balance Check </t>
  </si>
  <si>
    <t xml:space="preserve">Cashflow Statement </t>
  </si>
  <si>
    <t>Depreciation</t>
  </si>
  <si>
    <t xml:space="preserve">Cash from Operations </t>
  </si>
  <si>
    <t xml:space="preserve">Change in Accounts Recieveibles </t>
  </si>
  <si>
    <t xml:space="preserve">Change in Inventory </t>
  </si>
  <si>
    <t xml:space="preserve">Change in Accounts Payable </t>
  </si>
  <si>
    <t xml:space="preserve">Change in Income Taxes Payable </t>
  </si>
  <si>
    <t xml:space="preserve">Cash from Investing </t>
  </si>
  <si>
    <t>Capital expenditures</t>
  </si>
  <si>
    <t xml:space="preserve">Net Changes in Cash from Operating </t>
  </si>
  <si>
    <t xml:space="preserve">Net Change in Cash from Investing </t>
  </si>
  <si>
    <t xml:space="preserve">Cash From Financing </t>
  </si>
  <si>
    <t xml:space="preserve">Issuance (Repayment) of debt </t>
  </si>
  <si>
    <t xml:space="preserve">Issuance (Buyback) of Equity </t>
  </si>
  <si>
    <t xml:space="preserve">Net Changes in Cash from Financing </t>
  </si>
  <si>
    <t xml:space="preserve">Total Net Changes in Cash </t>
  </si>
  <si>
    <t xml:space="preserve">Beginning Cash Balance </t>
  </si>
  <si>
    <t xml:space="preserve">Ending Cash Balance </t>
  </si>
  <si>
    <t xml:space="preserve">Working Capital Schedule </t>
  </si>
  <si>
    <t>Revenue</t>
  </si>
  <si>
    <t xml:space="preserve">Account Reciveable </t>
  </si>
  <si>
    <t xml:space="preserve">inventory </t>
  </si>
  <si>
    <t xml:space="preserve">Account Payable </t>
  </si>
  <si>
    <t xml:space="preserve">Account recieveable Days </t>
  </si>
  <si>
    <t xml:space="preserve">Effective Tax Rate </t>
  </si>
  <si>
    <t xml:space="preserve">Account Payable Days </t>
  </si>
  <si>
    <t xml:space="preserve">Debt Schdedule </t>
  </si>
  <si>
    <t xml:space="preserve">Asset Schedule </t>
  </si>
  <si>
    <t>Equity Schedule</t>
  </si>
  <si>
    <t>Revolver Schedule</t>
  </si>
  <si>
    <t xml:space="preserve"> </t>
  </si>
  <si>
    <t xml:space="preserve">Repayment </t>
  </si>
  <si>
    <t xml:space="preserve">Ending Debt </t>
  </si>
  <si>
    <t>Beginning PP&amp;E</t>
  </si>
  <si>
    <t>Capital Expenditure</t>
  </si>
  <si>
    <t>Ending PP&amp;E</t>
  </si>
  <si>
    <t>Net Income</t>
  </si>
  <si>
    <t xml:space="preserve">Beginning Equity </t>
  </si>
  <si>
    <t xml:space="preserve">Retained earnings </t>
  </si>
  <si>
    <t xml:space="preserve">Ending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</si>
</sst>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A&quot;"/>
    <numFmt numFmtId="166" formatCode="yyyy&quot;F&quot;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3" borderId="1" xfId="0" applyNumberFormat="1" applyFill="1" applyBorder="1"/>
    <xf numFmtId="166" fontId="0" fillId="3" borderId="2" xfId="0" applyNumberFormat="1" applyFill="1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0" xfId="0" applyAlignment="1">
      <alignment horizontal="left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1" fillId="0" borderId="0" xfId="0" applyFont="1" applyAlignment="1">
      <alignment horizontal="left" indent="1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0" fontId="0" fillId="0" borderId="0" xfId="0" applyBorder="1"/>
    <xf numFmtId="0" fontId="0" fillId="4" borderId="14" xfId="0" applyFill="1" applyBorder="1"/>
    <xf numFmtId="0" fontId="0" fillId="4" borderId="0" xfId="0" applyFill="1" applyBorder="1"/>
    <xf numFmtId="0" fontId="0" fillId="4" borderId="15" xfId="0" applyFill="1" applyBorder="1"/>
    <xf numFmtId="164" fontId="0" fillId="0" borderId="0" xfId="0" applyNumberFormat="1" applyFill="1" applyBorder="1"/>
    <xf numFmtId="166" fontId="0" fillId="0" borderId="0" xfId="0" applyNumberFormat="1" applyFill="1" applyBorder="1"/>
    <xf numFmtId="0" fontId="0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8392-B4C2-4EA8-9349-6AF49E1FBBB0}">
  <dimension ref="A2:L177"/>
  <sheetViews>
    <sheetView tabSelected="1" topLeftCell="A160" workbookViewId="0">
      <selection activeCell="B179" sqref="B179"/>
    </sheetView>
  </sheetViews>
  <sheetFormatPr defaultRowHeight="13.5" x14ac:dyDescent="0.25"/>
  <sheetData>
    <row r="2" spans="1:12" x14ac:dyDescent="0.25">
      <c r="A2" t="s">
        <v>89</v>
      </c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5" customHeight="1" x14ac:dyDescent="0.25">
      <c r="B3" s="6" t="s">
        <v>16</v>
      </c>
      <c r="C3" s="6"/>
      <c r="D3" s="6"/>
    </row>
    <row r="4" spans="1:12" ht="14.25" thickBot="1" x14ac:dyDescent="0.3">
      <c r="B4" s="6"/>
      <c r="C4" s="6"/>
      <c r="D4" s="6"/>
      <c r="E4" s="3">
        <f>DATE(2022,6,30)</f>
        <v>44742</v>
      </c>
      <c r="F4" s="3">
        <f>EDATE(E4,12)</f>
        <v>45107</v>
      </c>
      <c r="G4" s="3">
        <f t="shared" ref="G4:L4" si="0">EDATE(F4,12)</f>
        <v>45473</v>
      </c>
      <c r="H4" s="3">
        <f t="shared" si="0"/>
        <v>45838</v>
      </c>
      <c r="I4" s="4">
        <f t="shared" si="0"/>
        <v>46203</v>
      </c>
      <c r="J4" s="4">
        <f t="shared" si="0"/>
        <v>46568</v>
      </c>
      <c r="K4" s="4">
        <f t="shared" si="0"/>
        <v>46934</v>
      </c>
      <c r="L4" s="4">
        <f t="shared" si="0"/>
        <v>47299</v>
      </c>
    </row>
    <row r="6" spans="1:12" x14ac:dyDescent="0.25">
      <c r="B6" s="5" t="s">
        <v>1</v>
      </c>
    </row>
    <row r="7" spans="1:12" x14ac:dyDescent="0.25">
      <c r="B7" s="5" t="s">
        <v>2</v>
      </c>
    </row>
    <row r="8" spans="1:12" x14ac:dyDescent="0.25">
      <c r="B8" s="5" t="s">
        <v>3</v>
      </c>
    </row>
    <row r="9" spans="1:12" x14ac:dyDescent="0.25">
      <c r="B9" s="5" t="s">
        <v>4</v>
      </c>
    </row>
    <row r="10" spans="1:12" x14ac:dyDescent="0.25">
      <c r="B10" s="5" t="s">
        <v>5</v>
      </c>
    </row>
    <row r="11" spans="1:12" x14ac:dyDescent="0.25">
      <c r="B11" s="5" t="s">
        <v>6</v>
      </c>
    </row>
    <row r="12" spans="1:12" x14ac:dyDescent="0.25">
      <c r="B12" s="5" t="s">
        <v>7</v>
      </c>
    </row>
    <row r="13" spans="1:12" x14ac:dyDescent="0.25">
      <c r="B13" s="5" t="s">
        <v>8</v>
      </c>
    </row>
    <row r="14" spans="1:12" x14ac:dyDescent="0.25">
      <c r="B14" s="5" t="s">
        <v>9</v>
      </c>
    </row>
    <row r="15" spans="1:12" x14ac:dyDescent="0.25">
      <c r="B15" s="5" t="s">
        <v>10</v>
      </c>
    </row>
    <row r="16" spans="1:12" x14ac:dyDescent="0.25">
      <c r="B16" s="5" t="s">
        <v>11</v>
      </c>
    </row>
    <row r="17" spans="1:12" x14ac:dyDescent="0.25">
      <c r="B17" s="5" t="s">
        <v>12</v>
      </c>
    </row>
    <row r="18" spans="1:12" x14ac:dyDescent="0.25">
      <c r="B18" s="5" t="s">
        <v>14</v>
      </c>
    </row>
    <row r="19" spans="1:12" x14ac:dyDescent="0.25">
      <c r="B19" s="5" t="s">
        <v>13</v>
      </c>
    </row>
    <row r="20" spans="1:12" x14ac:dyDescent="0.25">
      <c r="B20" s="5" t="s">
        <v>15</v>
      </c>
    </row>
    <row r="23" spans="1:12" x14ac:dyDescent="0.25">
      <c r="A23" t="s">
        <v>89</v>
      </c>
      <c r="B23" s="2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B24" s="6" t="s">
        <v>16</v>
      </c>
      <c r="C24" s="6"/>
      <c r="D24" s="6"/>
    </row>
    <row r="25" spans="1:12" ht="14.25" thickBot="1" x14ac:dyDescent="0.3">
      <c r="B25" s="6"/>
      <c r="C25" s="6"/>
      <c r="D25" s="6"/>
      <c r="E25" s="3">
        <f>DATE(2022,6,30)</f>
        <v>44742</v>
      </c>
      <c r="F25" s="3">
        <f>EDATE(E25,12)</f>
        <v>45107</v>
      </c>
      <c r="G25" s="3">
        <f t="shared" ref="G25:L25" si="1">EDATE(F25,12)</f>
        <v>45473</v>
      </c>
      <c r="H25" s="3">
        <f t="shared" si="1"/>
        <v>45838</v>
      </c>
      <c r="I25" s="4">
        <f t="shared" si="1"/>
        <v>46203</v>
      </c>
      <c r="J25" s="4">
        <f t="shared" si="1"/>
        <v>46568</v>
      </c>
      <c r="K25" s="4">
        <f t="shared" si="1"/>
        <v>46934</v>
      </c>
      <c r="L25" s="4">
        <f t="shared" si="1"/>
        <v>47299</v>
      </c>
    </row>
    <row r="27" spans="1:12" x14ac:dyDescent="0.25">
      <c r="B27" s="5" t="s">
        <v>18</v>
      </c>
    </row>
    <row r="28" spans="1:12" ht="14.25" thickBot="1" x14ac:dyDescent="0.3">
      <c r="B28" s="5" t="s">
        <v>19</v>
      </c>
    </row>
    <row r="29" spans="1:12" ht="14.25" thickTop="1" x14ac:dyDescent="0.25">
      <c r="B29" s="9" t="s">
        <v>20</v>
      </c>
      <c r="E29" s="8"/>
      <c r="F29" s="8"/>
      <c r="G29" s="8"/>
      <c r="H29" s="8"/>
      <c r="I29" s="8"/>
      <c r="J29" s="8"/>
      <c r="K29" s="8"/>
      <c r="L29" s="8"/>
    </row>
    <row r="31" spans="1:12" x14ac:dyDescent="0.25">
      <c r="B31" s="5" t="s">
        <v>21</v>
      </c>
    </row>
    <row r="32" spans="1:12" x14ac:dyDescent="0.25">
      <c r="B32" s="5" t="s">
        <v>22</v>
      </c>
    </row>
    <row r="33" spans="2:12" ht="14.25" thickBot="1" x14ac:dyDescent="0.3">
      <c r="B33" s="5" t="s">
        <v>23</v>
      </c>
    </row>
    <row r="34" spans="2:12" ht="14.25" thickTop="1" x14ac:dyDescent="0.25">
      <c r="B34" s="9" t="s">
        <v>24</v>
      </c>
      <c r="E34" s="8"/>
      <c r="F34" s="8"/>
      <c r="G34" s="8"/>
      <c r="H34" s="8"/>
      <c r="I34" s="8"/>
      <c r="J34" s="8"/>
      <c r="K34" s="8"/>
      <c r="L34" s="8"/>
    </row>
    <row r="36" spans="2:12" x14ac:dyDescent="0.25">
      <c r="B36" s="5" t="s">
        <v>25</v>
      </c>
    </row>
    <row r="37" spans="2:12" ht="14.25" thickBot="1" x14ac:dyDescent="0.3">
      <c r="B37" s="5" t="s">
        <v>26</v>
      </c>
    </row>
    <row r="38" spans="2:12" ht="14.25" thickTop="1" x14ac:dyDescent="0.25">
      <c r="B38" s="9" t="s">
        <v>27</v>
      </c>
      <c r="E38" s="8"/>
      <c r="F38" s="8"/>
      <c r="G38" s="8"/>
      <c r="H38" s="8"/>
      <c r="I38" s="8"/>
      <c r="J38" s="8"/>
      <c r="K38" s="8"/>
      <c r="L38" s="8"/>
    </row>
    <row r="40" spans="2:12" ht="14.25" thickBot="1" x14ac:dyDescent="0.3">
      <c r="B40" s="5" t="s">
        <v>28</v>
      </c>
    </row>
    <row r="41" spans="2:12" ht="15" thickTop="1" thickBot="1" x14ac:dyDescent="0.3">
      <c r="B41" s="9" t="s">
        <v>29</v>
      </c>
      <c r="E41" s="10"/>
      <c r="F41" s="10"/>
      <c r="G41" s="10"/>
      <c r="H41" s="10"/>
      <c r="I41" s="10"/>
      <c r="J41" s="10"/>
      <c r="K41" s="10"/>
      <c r="L41" s="10"/>
    </row>
    <row r="42" spans="2:12" ht="14.25" thickTop="1" x14ac:dyDescent="0.25"/>
    <row r="43" spans="2:12" x14ac:dyDescent="0.25">
      <c r="B43" t="s">
        <v>30</v>
      </c>
    </row>
    <row r="45" spans="2:12" x14ac:dyDescent="0.25">
      <c r="B45" s="9" t="s">
        <v>31</v>
      </c>
    </row>
    <row r="48" spans="2:12" x14ac:dyDescent="0.25">
      <c r="B48" s="2" t="s">
        <v>32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B49" s="6" t="s">
        <v>16</v>
      </c>
      <c r="C49" s="6"/>
      <c r="D49" s="6"/>
    </row>
    <row r="50" spans="1:12" ht="14.25" thickBot="1" x14ac:dyDescent="0.3">
      <c r="A50" t="s">
        <v>89</v>
      </c>
      <c r="B50" s="6"/>
      <c r="C50" s="6"/>
      <c r="D50" s="6"/>
      <c r="E50" s="3">
        <f>DATE(2022,6,30)</f>
        <v>44742</v>
      </c>
      <c r="F50" s="3">
        <f>EDATE(E50,12)</f>
        <v>45107</v>
      </c>
      <c r="G50" s="3">
        <f t="shared" ref="G50:L50" si="2">EDATE(F50,12)</f>
        <v>45473</v>
      </c>
      <c r="H50" s="3">
        <f t="shared" si="2"/>
        <v>45838</v>
      </c>
      <c r="I50" s="4">
        <f t="shared" si="2"/>
        <v>46203</v>
      </c>
      <c r="J50" s="4">
        <f t="shared" si="2"/>
        <v>46568</v>
      </c>
      <c r="K50" s="4">
        <f t="shared" si="2"/>
        <v>46934</v>
      </c>
      <c r="L50" s="4">
        <f t="shared" si="2"/>
        <v>47299</v>
      </c>
    </row>
    <row r="52" spans="1:12" x14ac:dyDescent="0.25">
      <c r="B52" t="s">
        <v>33</v>
      </c>
    </row>
    <row r="53" spans="1:12" x14ac:dyDescent="0.25">
      <c r="B53" s="5" t="s">
        <v>34</v>
      </c>
    </row>
    <row r="54" spans="1:12" x14ac:dyDescent="0.25">
      <c r="B54" s="5" t="s">
        <v>35</v>
      </c>
    </row>
    <row r="55" spans="1:12" ht="14.25" thickBot="1" x14ac:dyDescent="0.3">
      <c r="B55" s="5" t="s">
        <v>36</v>
      </c>
    </row>
    <row r="56" spans="1:12" ht="14.25" thickTop="1" x14ac:dyDescent="0.25">
      <c r="B56" s="9" t="s">
        <v>37</v>
      </c>
      <c r="E56" s="8"/>
      <c r="F56" s="8"/>
      <c r="G56" s="8"/>
      <c r="H56" s="8"/>
      <c r="I56" s="8"/>
      <c r="J56" s="8"/>
      <c r="K56" s="8"/>
      <c r="L56" s="8"/>
    </row>
    <row r="58" spans="1:12" x14ac:dyDescent="0.25">
      <c r="B58" s="11" t="s">
        <v>38</v>
      </c>
    </row>
    <row r="59" spans="1:12" x14ac:dyDescent="0.25">
      <c r="B59" s="5" t="s">
        <v>39</v>
      </c>
    </row>
    <row r="60" spans="1:12" x14ac:dyDescent="0.25">
      <c r="B60" s="5" t="s">
        <v>40</v>
      </c>
    </row>
    <row r="61" spans="1:12" ht="14.25" thickBot="1" x14ac:dyDescent="0.3">
      <c r="B61" s="5" t="s">
        <v>41</v>
      </c>
    </row>
    <row r="62" spans="1:12" ht="14.25" thickTop="1" x14ac:dyDescent="0.25">
      <c r="B62" s="9" t="s">
        <v>42</v>
      </c>
      <c r="E62" s="8"/>
      <c r="F62" s="8"/>
      <c r="G62" s="8"/>
      <c r="H62" s="8"/>
      <c r="I62" s="8"/>
      <c r="J62" s="8"/>
      <c r="K62" s="8"/>
      <c r="L62" s="8"/>
    </row>
    <row r="63" spans="1:12" ht="14.25" thickBot="1" x14ac:dyDescent="0.3"/>
    <row r="64" spans="1:12" ht="14.25" thickTop="1" x14ac:dyDescent="0.25">
      <c r="B64" s="9" t="s">
        <v>43</v>
      </c>
      <c r="E64" s="8"/>
      <c r="F64" s="8"/>
      <c r="G64" s="8"/>
      <c r="H64" s="8"/>
      <c r="I64" s="8"/>
      <c r="J64" s="8"/>
      <c r="K64" s="8"/>
      <c r="L64" s="8"/>
    </row>
    <row r="66" spans="2:12" x14ac:dyDescent="0.25">
      <c r="B66" s="23" t="s">
        <v>44</v>
      </c>
    </row>
    <row r="67" spans="2:12" x14ac:dyDescent="0.25">
      <c r="B67" s="22" t="s">
        <v>45</v>
      </c>
    </row>
    <row r="68" spans="2:12" x14ac:dyDescent="0.25">
      <c r="B68" s="22" t="s">
        <v>46</v>
      </c>
    </row>
    <row r="69" spans="2:12" x14ac:dyDescent="0.25">
      <c r="B69" s="22" t="s">
        <v>47</v>
      </c>
    </row>
    <row r="70" spans="2:12" ht="14.25" thickBot="1" x14ac:dyDescent="0.3">
      <c r="B70" s="22" t="s">
        <v>48</v>
      </c>
    </row>
    <row r="71" spans="2:12" ht="14.25" thickTop="1" x14ac:dyDescent="0.25">
      <c r="B71" s="9" t="s">
        <v>49</v>
      </c>
      <c r="E71" s="8"/>
      <c r="F71" s="8"/>
      <c r="G71" s="8"/>
      <c r="H71" s="8"/>
      <c r="I71" s="8"/>
      <c r="J71" s="8"/>
      <c r="K71" s="8"/>
      <c r="L71" s="8"/>
    </row>
    <row r="73" spans="2:12" x14ac:dyDescent="0.25">
      <c r="B73" s="11" t="s">
        <v>50</v>
      </c>
    </row>
    <row r="74" spans="2:12" ht="14.25" thickBot="1" x14ac:dyDescent="0.3">
      <c r="B74" s="5" t="s">
        <v>51</v>
      </c>
    </row>
    <row r="75" spans="2:12" ht="14.25" thickTop="1" x14ac:dyDescent="0.25">
      <c r="B75" s="9" t="s">
        <v>52</v>
      </c>
      <c r="E75" s="8"/>
      <c r="F75" s="8"/>
      <c r="G75" s="8"/>
      <c r="H75" s="8"/>
      <c r="I75" s="8"/>
      <c r="J75" s="8"/>
      <c r="K75" s="8"/>
      <c r="L75" s="8"/>
    </row>
    <row r="76" spans="2:12" ht="14.25" thickBot="1" x14ac:dyDescent="0.3"/>
    <row r="77" spans="2:12" ht="14.25" thickTop="1" x14ac:dyDescent="0.25">
      <c r="B77" s="9" t="s">
        <v>53</v>
      </c>
      <c r="E77" s="8"/>
      <c r="F77" s="8"/>
      <c r="G77" s="8"/>
      <c r="H77" s="8"/>
      <c r="I77" s="8"/>
      <c r="J77" s="8"/>
      <c r="K77" s="8"/>
      <c r="L77" s="8"/>
    </row>
    <row r="79" spans="2:12" x14ac:dyDescent="0.25">
      <c r="B79" s="23" t="s">
        <v>54</v>
      </c>
    </row>
    <row r="80" spans="2:12" x14ac:dyDescent="0.25">
      <c r="B80" s="5" t="s">
        <v>55</v>
      </c>
    </row>
    <row r="81" spans="1:12" x14ac:dyDescent="0.25">
      <c r="B81" s="22" t="s">
        <v>30</v>
      </c>
    </row>
    <row r="82" spans="1:12" ht="14.25" thickBot="1" x14ac:dyDescent="0.3">
      <c r="B82" s="5" t="s">
        <v>31</v>
      </c>
    </row>
    <row r="83" spans="1:12" ht="14.25" thickTop="1" x14ac:dyDescent="0.25">
      <c r="B83" s="9" t="s">
        <v>56</v>
      </c>
      <c r="E83" s="8"/>
      <c r="F83" s="8"/>
      <c r="G83" s="8"/>
      <c r="H83" s="8"/>
      <c r="I83" s="8"/>
      <c r="J83" s="8"/>
      <c r="K83" s="8"/>
      <c r="L83" s="8"/>
    </row>
    <row r="84" spans="1:12" ht="14.25" thickBot="1" x14ac:dyDescent="0.3"/>
    <row r="85" spans="1:12" ht="14.25" thickTop="1" x14ac:dyDescent="0.25">
      <c r="B85" s="9" t="s">
        <v>57</v>
      </c>
      <c r="E85" s="8"/>
      <c r="F85" s="8"/>
      <c r="G85" s="8"/>
      <c r="H85" s="8"/>
      <c r="I85" s="8"/>
      <c r="J85" s="8"/>
      <c r="K85" s="8"/>
      <c r="L85" s="8"/>
    </row>
    <row r="87" spans="1:12" x14ac:dyDescent="0.25">
      <c r="B87" s="9" t="s">
        <v>58</v>
      </c>
      <c r="E87" s="12"/>
      <c r="F87" s="13"/>
      <c r="G87" s="13"/>
      <c r="H87" s="13"/>
      <c r="I87" s="13"/>
      <c r="J87" s="13"/>
      <c r="K87" s="13"/>
      <c r="L87" s="14"/>
    </row>
    <row r="90" spans="1:12" x14ac:dyDescent="0.25">
      <c r="A90" t="s">
        <v>89</v>
      </c>
      <c r="B90" s="2" t="s">
        <v>59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B91" s="6" t="s">
        <v>16</v>
      </c>
      <c r="C91" s="6"/>
      <c r="D91" s="6"/>
    </row>
    <row r="92" spans="1:12" ht="14.25" thickBot="1" x14ac:dyDescent="0.3">
      <c r="B92" s="6"/>
      <c r="C92" s="6"/>
      <c r="D92" s="6"/>
      <c r="E92" s="3">
        <f>DATE(2022,6,30)</f>
        <v>44742</v>
      </c>
      <c r="F92" s="3">
        <f>EDATE(E92,12)</f>
        <v>45107</v>
      </c>
      <c r="G92" s="3">
        <f t="shared" ref="G92:L92" si="3">EDATE(F92,12)</f>
        <v>45473</v>
      </c>
      <c r="H92" s="3">
        <f t="shared" si="3"/>
        <v>45838</v>
      </c>
      <c r="I92" s="4">
        <f t="shared" si="3"/>
        <v>46203</v>
      </c>
      <c r="J92" s="4">
        <f t="shared" si="3"/>
        <v>46568</v>
      </c>
      <c r="K92" s="4">
        <f t="shared" si="3"/>
        <v>46934</v>
      </c>
      <c r="L92" s="4">
        <f t="shared" si="3"/>
        <v>47299</v>
      </c>
    </row>
    <row r="94" spans="1:12" x14ac:dyDescent="0.25">
      <c r="B94" s="5" t="s">
        <v>29</v>
      </c>
      <c r="E94" s="16"/>
      <c r="F94" s="17"/>
      <c r="G94" s="17"/>
      <c r="H94" s="17"/>
      <c r="I94" s="17"/>
      <c r="J94" s="17"/>
      <c r="K94" s="17"/>
      <c r="L94" s="18"/>
    </row>
    <row r="95" spans="1:12" x14ac:dyDescent="0.25">
      <c r="B95" s="5" t="s">
        <v>60</v>
      </c>
      <c r="E95" s="19"/>
      <c r="F95" s="20"/>
      <c r="G95" s="20"/>
      <c r="H95" s="20"/>
      <c r="I95" s="20"/>
      <c r="J95" s="20"/>
      <c r="K95" s="20"/>
      <c r="L95" s="21"/>
    </row>
    <row r="97" spans="2:12" x14ac:dyDescent="0.25">
      <c r="B97" t="s">
        <v>61</v>
      </c>
    </row>
    <row r="98" spans="2:12" x14ac:dyDescent="0.25">
      <c r="B98" s="5" t="s">
        <v>62</v>
      </c>
    </row>
    <row r="99" spans="2:12" x14ac:dyDescent="0.25">
      <c r="B99" s="5" t="s">
        <v>63</v>
      </c>
    </row>
    <row r="100" spans="2:12" x14ac:dyDescent="0.25">
      <c r="B100" s="5" t="s">
        <v>64</v>
      </c>
    </row>
    <row r="101" spans="2:12" ht="14.25" thickBot="1" x14ac:dyDescent="0.3">
      <c r="B101" s="5" t="s">
        <v>65</v>
      </c>
    </row>
    <row r="102" spans="2:12" ht="14.25" thickTop="1" x14ac:dyDescent="0.25">
      <c r="B102" s="9" t="s">
        <v>68</v>
      </c>
      <c r="E102" s="8"/>
      <c r="F102" s="8"/>
      <c r="G102" s="8"/>
      <c r="H102" s="8"/>
      <c r="I102" s="8"/>
      <c r="J102" s="8"/>
      <c r="K102" s="8"/>
      <c r="L102" s="8"/>
    </row>
    <row r="104" spans="2:12" x14ac:dyDescent="0.25">
      <c r="B104" s="5" t="s">
        <v>66</v>
      </c>
    </row>
    <row r="105" spans="2:12" ht="14.25" thickBot="1" x14ac:dyDescent="0.3">
      <c r="B105" s="5" t="s">
        <v>67</v>
      </c>
    </row>
    <row r="106" spans="2:12" ht="14.25" thickTop="1" x14ac:dyDescent="0.25">
      <c r="B106" s="15" t="s">
        <v>69</v>
      </c>
      <c r="E106" s="8"/>
      <c r="F106" s="8"/>
      <c r="G106" s="8"/>
      <c r="H106" s="8"/>
      <c r="I106" s="8"/>
      <c r="J106" s="8"/>
      <c r="K106" s="8"/>
      <c r="L106" s="8"/>
    </row>
    <row r="108" spans="2:12" x14ac:dyDescent="0.25">
      <c r="B108" s="5" t="s">
        <v>70</v>
      </c>
    </row>
    <row r="109" spans="2:12" x14ac:dyDescent="0.25">
      <c r="B109" s="5" t="s">
        <v>71</v>
      </c>
    </row>
    <row r="110" spans="2:12" x14ac:dyDescent="0.25">
      <c r="B110" s="5" t="s">
        <v>72</v>
      </c>
    </row>
    <row r="111" spans="2:12" ht="14.25" thickBot="1" x14ac:dyDescent="0.3">
      <c r="B111" s="5" t="s">
        <v>30</v>
      </c>
    </row>
    <row r="112" spans="2:12" ht="14.25" thickTop="1" x14ac:dyDescent="0.25">
      <c r="B112" s="9" t="s">
        <v>73</v>
      </c>
      <c r="E112" s="8"/>
      <c r="F112" s="8"/>
      <c r="G112" s="8"/>
      <c r="H112" s="8"/>
      <c r="I112" s="8"/>
      <c r="J112" s="8"/>
      <c r="K112" s="8"/>
      <c r="L112" s="8"/>
    </row>
    <row r="114" spans="1:12" x14ac:dyDescent="0.25">
      <c r="B114" s="5" t="s">
        <v>74</v>
      </c>
    </row>
    <row r="115" spans="1:12" ht="14.25" thickBot="1" x14ac:dyDescent="0.3">
      <c r="B115" s="5" t="s">
        <v>75</v>
      </c>
    </row>
    <row r="116" spans="1:12" ht="14.25" thickTop="1" x14ac:dyDescent="0.25">
      <c r="B116" s="9" t="s">
        <v>76</v>
      </c>
      <c r="E116" s="8"/>
      <c r="F116" s="8"/>
      <c r="G116" s="8"/>
      <c r="H116" s="8"/>
      <c r="I116" s="8"/>
      <c r="J116" s="8"/>
      <c r="K116" s="8"/>
      <c r="L116" s="8"/>
    </row>
    <row r="119" spans="1:12" x14ac:dyDescent="0.25">
      <c r="A119" t="s">
        <v>89</v>
      </c>
      <c r="B119" s="2" t="s">
        <v>77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B120" s="6" t="s">
        <v>16</v>
      </c>
      <c r="C120" s="6"/>
      <c r="D120" s="6"/>
    </row>
    <row r="121" spans="1:12" ht="14.25" thickBot="1" x14ac:dyDescent="0.3">
      <c r="B121" s="6"/>
      <c r="C121" s="6"/>
      <c r="D121" s="6"/>
      <c r="E121" s="3">
        <f>DATE(2022,6,30)</f>
        <v>44742</v>
      </c>
      <c r="F121" s="3">
        <f>EDATE(E121,12)</f>
        <v>45107</v>
      </c>
      <c r="G121" s="3">
        <f t="shared" ref="G121:L121" si="4">EDATE(F121,12)</f>
        <v>45473</v>
      </c>
      <c r="H121" s="3">
        <f t="shared" si="4"/>
        <v>45838</v>
      </c>
      <c r="I121" s="4">
        <f t="shared" si="4"/>
        <v>46203</v>
      </c>
      <c r="J121" s="4">
        <f t="shared" si="4"/>
        <v>46568</v>
      </c>
      <c r="K121" s="4">
        <f t="shared" si="4"/>
        <v>46934</v>
      </c>
      <c r="L121" s="4">
        <f t="shared" si="4"/>
        <v>47299</v>
      </c>
    </row>
    <row r="123" spans="1:12" x14ac:dyDescent="0.25">
      <c r="B123" t="s">
        <v>78</v>
      </c>
    </row>
    <row r="124" spans="1:12" x14ac:dyDescent="0.25">
      <c r="B124" t="s">
        <v>79</v>
      </c>
    </row>
    <row r="125" spans="1:12" x14ac:dyDescent="0.25">
      <c r="B125" t="s">
        <v>80</v>
      </c>
    </row>
    <row r="126" spans="1:12" x14ac:dyDescent="0.25">
      <c r="B126" t="s">
        <v>81</v>
      </c>
    </row>
    <row r="127" spans="1:12" x14ac:dyDescent="0.25">
      <c r="B127" t="s">
        <v>83</v>
      </c>
    </row>
    <row r="129" spans="1:12" x14ac:dyDescent="0.25">
      <c r="B129" t="s">
        <v>82</v>
      </c>
    </row>
    <row r="130" spans="1:12" x14ac:dyDescent="0.25">
      <c r="B130" t="s">
        <v>8</v>
      </c>
    </row>
    <row r="131" spans="1:12" x14ac:dyDescent="0.25">
      <c r="B131" t="s">
        <v>84</v>
      </c>
    </row>
    <row r="132" spans="1:12" x14ac:dyDescent="0.25">
      <c r="B132" t="s">
        <v>28</v>
      </c>
    </row>
    <row r="135" spans="1:12" x14ac:dyDescent="0.25">
      <c r="A135" t="s">
        <v>89</v>
      </c>
      <c r="B135" s="2" t="s">
        <v>85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B136" s="6" t="s">
        <v>16</v>
      </c>
      <c r="C136" s="6"/>
      <c r="D136" s="6"/>
    </row>
    <row r="137" spans="1:12" ht="14.25" thickBot="1" x14ac:dyDescent="0.3">
      <c r="B137" s="6"/>
      <c r="C137" s="6"/>
      <c r="D137" s="6"/>
      <c r="E137" s="3">
        <f>DATE(2022,6,30)</f>
        <v>44742</v>
      </c>
      <c r="F137" s="3">
        <f>EDATE(E137,12)</f>
        <v>45107</v>
      </c>
      <c r="G137" s="3">
        <f t="shared" ref="G137:L137" si="5">EDATE(F137,12)</f>
        <v>45473</v>
      </c>
      <c r="H137" s="3">
        <f t="shared" si="5"/>
        <v>45838</v>
      </c>
      <c r="I137" s="4">
        <f t="shared" si="5"/>
        <v>46203</v>
      </c>
      <c r="J137" s="4">
        <f t="shared" si="5"/>
        <v>46568</v>
      </c>
      <c r="K137" s="4">
        <f t="shared" si="5"/>
        <v>46934</v>
      </c>
      <c r="L137" s="4">
        <f t="shared" si="5"/>
        <v>47299</v>
      </c>
    </row>
    <row r="139" spans="1:12" x14ac:dyDescent="0.25">
      <c r="B139" t="str">
        <f>B17</f>
        <v xml:space="preserve">Debt Interest Rate </v>
      </c>
      <c r="E139" s="12"/>
      <c r="F139" s="13"/>
      <c r="G139" s="13"/>
      <c r="H139" s="13"/>
      <c r="I139" s="13"/>
      <c r="J139" s="13"/>
      <c r="K139" s="13"/>
      <c r="L139" s="14"/>
    </row>
    <row r="141" spans="1:12" x14ac:dyDescent="0.25">
      <c r="B141" t="str">
        <f>B18</f>
        <v xml:space="preserve">Begining Debt  </v>
      </c>
    </row>
    <row r="142" spans="1:12" x14ac:dyDescent="0.25">
      <c r="B142" t="s">
        <v>90</v>
      </c>
    </row>
    <row r="143" spans="1:12" ht="14.25" thickBot="1" x14ac:dyDescent="0.3">
      <c r="B143" t="s">
        <v>25</v>
      </c>
    </row>
    <row r="144" spans="1:12" ht="14.25" thickTop="1" x14ac:dyDescent="0.25">
      <c r="B144" t="s">
        <v>91</v>
      </c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E145" s="24"/>
      <c r="F145" s="24"/>
      <c r="G145" s="24"/>
      <c r="H145" s="24"/>
      <c r="I145" s="24"/>
      <c r="J145" s="24"/>
      <c r="K145" s="24"/>
      <c r="L145" s="24"/>
    </row>
    <row r="147" spans="1:12" x14ac:dyDescent="0.25">
      <c r="A147" t="s">
        <v>89</v>
      </c>
      <c r="B147" s="2" t="s">
        <v>86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B148" s="6" t="s">
        <v>16</v>
      </c>
      <c r="C148" s="6"/>
      <c r="D148" s="6"/>
    </row>
    <row r="149" spans="1:12" ht="14.25" thickBot="1" x14ac:dyDescent="0.3">
      <c r="B149" s="6"/>
      <c r="C149" s="6"/>
      <c r="D149" s="6"/>
      <c r="E149" s="3">
        <f>DATE(2022,6,30)</f>
        <v>44742</v>
      </c>
      <c r="F149" s="3">
        <f>EDATE(E149,12)</f>
        <v>45107</v>
      </c>
      <c r="G149" s="3">
        <f t="shared" ref="G149:L149" si="6">EDATE(F149,12)</f>
        <v>45473</v>
      </c>
      <c r="H149" s="3">
        <f t="shared" si="6"/>
        <v>45838</v>
      </c>
      <c r="I149" s="4">
        <f t="shared" si="6"/>
        <v>46203</v>
      </c>
      <c r="J149" s="4">
        <f t="shared" si="6"/>
        <v>46568</v>
      </c>
      <c r="K149" s="4">
        <f t="shared" si="6"/>
        <v>46934</v>
      </c>
      <c r="L149" s="4">
        <f t="shared" si="6"/>
        <v>47299</v>
      </c>
    </row>
    <row r="151" spans="1:12" x14ac:dyDescent="0.25">
      <c r="B151" t="str">
        <f>B59</f>
        <v>PP&amp;E</v>
      </c>
      <c r="E151" s="16"/>
      <c r="F151" s="17"/>
      <c r="G151" s="17"/>
      <c r="H151" s="17"/>
      <c r="I151" s="17"/>
      <c r="J151" s="17"/>
      <c r="K151" s="17"/>
      <c r="L151" s="18"/>
    </row>
    <row r="152" spans="1:12" x14ac:dyDescent="0.25">
      <c r="B152" t="str">
        <f>B10</f>
        <v>Depreciation (As a % of PP&amp;E)</v>
      </c>
      <c r="E152" s="25"/>
      <c r="F152" s="26"/>
      <c r="G152" s="26"/>
      <c r="H152" s="26"/>
      <c r="I152" s="26"/>
      <c r="J152" s="26"/>
      <c r="K152" s="26"/>
      <c r="L152" s="27"/>
    </row>
    <row r="153" spans="1:12" x14ac:dyDescent="0.25">
      <c r="B153" t="str">
        <f>B11</f>
        <v>CapEx (As a % of revenue)</v>
      </c>
      <c r="E153" s="19"/>
      <c r="F153" s="20"/>
      <c r="G153" s="20"/>
      <c r="H153" s="20"/>
      <c r="I153" s="20"/>
      <c r="J153" s="20"/>
      <c r="K153" s="20"/>
      <c r="L153" s="21"/>
    </row>
    <row r="155" spans="1:12" x14ac:dyDescent="0.25">
      <c r="B155" t="s">
        <v>92</v>
      </c>
    </row>
    <row r="156" spans="1:12" x14ac:dyDescent="0.25">
      <c r="B156" t="s">
        <v>93</v>
      </c>
    </row>
    <row r="157" spans="1:12" ht="14.25" thickBot="1" x14ac:dyDescent="0.3">
      <c r="B157" t="s">
        <v>60</v>
      </c>
    </row>
    <row r="158" spans="1:12" ht="14.25" thickTop="1" x14ac:dyDescent="0.25">
      <c r="B158" t="s">
        <v>94</v>
      </c>
      <c r="E158" s="8"/>
      <c r="F158" s="8"/>
      <c r="G158" s="8"/>
      <c r="H158" s="8"/>
      <c r="I158" s="8"/>
      <c r="J158" s="8"/>
      <c r="K158" s="8"/>
      <c r="L158" s="8"/>
    </row>
    <row r="161" spans="1:12" x14ac:dyDescent="0.25">
      <c r="A161" t="s">
        <v>89</v>
      </c>
      <c r="B161" s="2" t="s">
        <v>87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B162" s="6" t="s">
        <v>16</v>
      </c>
      <c r="C162" s="6"/>
      <c r="D162" s="6"/>
    </row>
    <row r="163" spans="1:12" ht="14.25" thickBot="1" x14ac:dyDescent="0.3">
      <c r="B163" s="6"/>
      <c r="C163" s="6"/>
      <c r="D163" s="6"/>
      <c r="E163" s="3">
        <f>DATE(2022,6,30)</f>
        <v>44742</v>
      </c>
      <c r="F163" s="3">
        <f>EDATE(E163,12)</f>
        <v>45107</v>
      </c>
      <c r="G163" s="3">
        <f t="shared" ref="G163:L163" si="7">EDATE(F163,12)</f>
        <v>45473</v>
      </c>
      <c r="H163" s="3">
        <f t="shared" si="7"/>
        <v>45838</v>
      </c>
      <c r="I163" s="4">
        <f t="shared" si="7"/>
        <v>46203</v>
      </c>
      <c r="J163" s="4">
        <f t="shared" si="7"/>
        <v>46568</v>
      </c>
      <c r="K163" s="4">
        <f t="shared" si="7"/>
        <v>46934</v>
      </c>
      <c r="L163" s="4">
        <f t="shared" si="7"/>
        <v>47299</v>
      </c>
    </row>
    <row r="164" spans="1:12" x14ac:dyDescent="0.25">
      <c r="B164" s="7"/>
      <c r="C164" s="7"/>
      <c r="D164" s="7"/>
      <c r="E164" s="28"/>
      <c r="F164" s="28"/>
      <c r="G164" s="28"/>
      <c r="H164" s="28"/>
      <c r="I164" s="29"/>
      <c r="J164" s="29"/>
      <c r="K164" s="29"/>
      <c r="L164" s="29"/>
    </row>
    <row r="165" spans="1:12" x14ac:dyDescent="0.25">
      <c r="B165" s="30" t="s">
        <v>95</v>
      </c>
      <c r="C165" s="7"/>
      <c r="D165" s="7"/>
      <c r="E165" s="16"/>
      <c r="F165" s="17"/>
      <c r="G165" s="17"/>
      <c r="H165" s="17"/>
      <c r="I165" s="17"/>
      <c r="J165" s="17"/>
      <c r="K165" s="17"/>
      <c r="L165" s="18"/>
    </row>
    <row r="166" spans="1:12" x14ac:dyDescent="0.25">
      <c r="B166" s="30" t="str">
        <f>B20</f>
        <v>Dividends (As a % of Net Income)</v>
      </c>
      <c r="C166" s="7"/>
      <c r="D166" s="7"/>
      <c r="E166" s="25"/>
      <c r="F166" s="26"/>
      <c r="G166" s="26"/>
      <c r="H166" s="26"/>
      <c r="I166" s="26"/>
      <c r="J166" s="26"/>
      <c r="K166" s="26"/>
      <c r="L166" s="27"/>
    </row>
    <row r="167" spans="1:12" x14ac:dyDescent="0.25">
      <c r="B167" s="30" t="str">
        <f>B45</f>
        <v xml:space="preserve">Retained Earnings </v>
      </c>
      <c r="C167" s="7"/>
      <c r="D167" s="7"/>
      <c r="E167" s="19"/>
      <c r="F167" s="20"/>
      <c r="G167" s="20"/>
      <c r="H167" s="20"/>
      <c r="I167" s="20"/>
      <c r="J167" s="20"/>
      <c r="K167" s="20"/>
      <c r="L167" s="21"/>
    </row>
    <row r="168" spans="1:12" x14ac:dyDescent="0.25">
      <c r="B168" s="30"/>
      <c r="C168" s="7"/>
      <c r="D168" s="7"/>
      <c r="E168" s="31"/>
      <c r="F168" s="31"/>
      <c r="G168" s="31"/>
      <c r="H168" s="31"/>
      <c r="I168" s="31"/>
      <c r="J168" s="31"/>
      <c r="K168" s="31"/>
      <c r="L168" s="31"/>
    </row>
    <row r="169" spans="1:12" x14ac:dyDescent="0.25">
      <c r="B169" s="30" t="s">
        <v>96</v>
      </c>
      <c r="C169" s="7"/>
      <c r="D169" s="7"/>
      <c r="E169" s="31"/>
      <c r="F169" s="31"/>
      <c r="G169" s="31"/>
      <c r="H169" s="31"/>
      <c r="I169" s="31"/>
      <c r="J169" s="31"/>
      <c r="K169" s="31"/>
      <c r="L169" s="31"/>
    </row>
    <row r="170" spans="1:12" x14ac:dyDescent="0.25">
      <c r="B170" s="30" t="s">
        <v>30</v>
      </c>
      <c r="C170" s="7"/>
      <c r="D170" s="7"/>
      <c r="E170" s="31"/>
      <c r="F170" s="31"/>
      <c r="G170" s="31"/>
      <c r="H170" s="31"/>
      <c r="I170" s="31"/>
      <c r="J170" s="31"/>
      <c r="K170" s="31"/>
      <c r="L170" s="31"/>
    </row>
    <row r="171" spans="1:12" ht="14.25" thickBot="1" x14ac:dyDescent="0.3">
      <c r="B171" s="30" t="s">
        <v>97</v>
      </c>
      <c r="C171" s="7"/>
      <c r="D171" s="7"/>
      <c r="E171" s="31"/>
      <c r="F171" s="31"/>
      <c r="G171" s="31"/>
      <c r="H171" s="31"/>
      <c r="I171" s="31"/>
      <c r="J171" s="31"/>
      <c r="K171" s="31"/>
      <c r="L171" s="31"/>
    </row>
    <row r="172" spans="1:12" ht="14.25" thickTop="1" x14ac:dyDescent="0.25">
      <c r="B172" s="30" t="s">
        <v>98</v>
      </c>
      <c r="C172" s="7"/>
      <c r="D172" s="7"/>
      <c r="E172" s="8"/>
      <c r="F172" s="8"/>
      <c r="G172" s="8"/>
      <c r="H172" s="8"/>
      <c r="I172" s="8"/>
      <c r="J172" s="8"/>
      <c r="K172" s="8"/>
      <c r="L172" s="8"/>
    </row>
    <row r="175" spans="1:12" x14ac:dyDescent="0.25">
      <c r="A175" t="s">
        <v>89</v>
      </c>
      <c r="B175" s="2" t="s">
        <v>88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B176" s="6" t="s">
        <v>16</v>
      </c>
      <c r="C176" s="6"/>
      <c r="D176" s="6"/>
    </row>
    <row r="177" spans="2:12" ht="14.25" thickBot="1" x14ac:dyDescent="0.3">
      <c r="B177" s="6"/>
      <c r="C177" s="6"/>
      <c r="D177" s="6"/>
      <c r="E177" s="3">
        <f>DATE(2022,6,30)</f>
        <v>44742</v>
      </c>
      <c r="F177" s="3">
        <f>EDATE(E177,12)</f>
        <v>45107</v>
      </c>
      <c r="G177" s="3">
        <f t="shared" ref="G177:L177" si="8">EDATE(F177,12)</f>
        <v>45473</v>
      </c>
      <c r="H177" s="3">
        <f t="shared" si="8"/>
        <v>45838</v>
      </c>
      <c r="I177" s="4">
        <f t="shared" si="8"/>
        <v>46203</v>
      </c>
      <c r="J177" s="4">
        <f t="shared" si="8"/>
        <v>46568</v>
      </c>
      <c r="K177" s="4">
        <f t="shared" si="8"/>
        <v>46934</v>
      </c>
      <c r="L177" s="4">
        <f t="shared" si="8"/>
        <v>47299</v>
      </c>
    </row>
  </sheetData>
  <mergeCells count="9">
    <mergeCell ref="B136:D137"/>
    <mergeCell ref="B148:D149"/>
    <mergeCell ref="B162:D163"/>
    <mergeCell ref="B176:D177"/>
    <mergeCell ref="B3:D4"/>
    <mergeCell ref="B24:D25"/>
    <mergeCell ref="B49:D50"/>
    <mergeCell ref="B91:D92"/>
    <mergeCell ref="B120:D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2026-08-31T14:06:48Z</dcterms:created>
  <dcterms:modified xsi:type="dcterms:W3CDTF">2026-08-31T14:54:00Z</dcterms:modified>
</cp:coreProperties>
</file>