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Historicals" sheetId="2" state="visible" r:id="rId2"/>
    <sheet name="Ratio Worksheet" sheetId="3" state="visible" r:id="rId3"/>
    <sheet name="Answer 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-"/>
    <numFmt numFmtId="165" formatCode="0.0%"/>
    <numFmt numFmtId="166" formatCode="0.0"/>
  </numFmts>
  <fonts count="20">
    <font>
      <name val="Calibri"/>
      <family val="2"/>
      <color theme="1"/>
      <sz val="11"/>
      <scheme val="minor"/>
    </font>
    <font>
      <name val="Arial"/>
      <b val="1"/>
      <color rgb="FF1A1A1A"/>
      <sz val="16"/>
    </font>
    <font>
      <name val="Arial"/>
      <i val="1"/>
      <color rgb="FF7F7F7F"/>
      <sz val="10"/>
    </font>
    <font>
      <name val="Arial"/>
      <i val="1"/>
      <color rgb="FFC00000"/>
      <sz val="10"/>
    </font>
    <font>
      <name val="Arial"/>
      <b val="1"/>
      <color rgb="FFFFFFFF"/>
      <sz val="10"/>
    </font>
    <font>
      <name val="Arial"/>
      <b val="1"/>
      <color rgb="FF1A1A1A"/>
      <sz val="11"/>
    </font>
    <font>
      <name val="Arial"/>
      <b val="1"/>
      <color rgb="FFB26B00"/>
      <sz val="10"/>
    </font>
    <font>
      <name val="Arial"/>
      <b val="1"/>
      <color rgb="FF1A1A1A"/>
      <sz val="10"/>
    </font>
    <font>
      <name val="Arial"/>
      <color rgb="FF1A1A1A"/>
      <sz val="10"/>
    </font>
    <font>
      <name val="Arial"/>
      <color rgb="FF008000"/>
      <sz val="10"/>
    </font>
    <font>
      <name val="Arial"/>
      <b val="1"/>
      <color rgb="FFC00000"/>
      <sz val="12"/>
    </font>
    <font>
      <name val="Arial"/>
      <b val="1"/>
      <color rgb="FF1A1A1A"/>
      <sz val="15"/>
    </font>
    <font>
      <name val="Arial"/>
      <i val="1"/>
      <color rgb="FF0000FF"/>
      <sz val="10"/>
    </font>
    <font>
      <name val="Arial"/>
      <color rgb="FF0000FF"/>
      <sz val="10"/>
    </font>
    <font>
      <name val="Arial"/>
      <i val="1"/>
      <color rgb="FF7F7F7F"/>
      <sz val="9"/>
    </font>
    <font>
      <name val="Arial"/>
      <color rgb="FF7F7F7F"/>
      <sz val="9"/>
    </font>
    <font>
      <name val="Arial"/>
      <b val="1"/>
      <color rgb="FF008000"/>
      <sz val="10"/>
    </font>
    <font>
      <name val="Arial"/>
      <b val="1"/>
      <color rgb="FF1A1A1A"/>
      <sz val="12"/>
    </font>
    <font>
      <name val="Arial"/>
      <b val="1"/>
      <color rgb="FF0000FF"/>
      <sz val="10"/>
    </font>
    <font>
      <name val="Arial"/>
      <color rgb="FF7F7F7F"/>
      <sz val="10"/>
    </font>
  </fonts>
  <fills count="6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FFFF00"/>
      </patternFill>
    </fill>
    <fill>
      <patternFill patternType="solid">
        <fgColor rgb="FFEDF0F6"/>
      </patternFill>
    </fill>
    <fill>
      <patternFill patternType="solid">
        <fgColor rgb="FFEAF5EE"/>
      </patternFill>
    </fill>
  </fills>
  <borders count="3">
    <border>
      <left/>
      <right/>
      <top/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</border>
    <border>
      <top style="thin">
        <color rgb="FF1A1A1A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7" fillId="4" borderId="0" pivotButton="0" quotePrefix="0" xfId="0"/>
    <xf numFmtId="0" fontId="0" fillId="4" borderId="0" pivotButton="0" quotePrefix="0" xfId="0"/>
    <xf numFmtId="164" fontId="13" fillId="0" borderId="0" pivotButton="0" quotePrefix="0" xfId="0"/>
    <xf numFmtId="0" fontId="7" fillId="0" borderId="0" pivotButton="0" quotePrefix="0" xfId="0"/>
    <xf numFmtId="164" fontId="7" fillId="0" borderId="2" pivotButton="0" quotePrefix="0" xfId="0"/>
    <xf numFmtId="0" fontId="14" fillId="0" borderId="0" pivotButton="0" quotePrefix="0" xfId="0"/>
    <xf numFmtId="165" fontId="15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5" fontId="16" fillId="5" borderId="1" applyAlignment="1" pivotButton="0" quotePrefix="0" xfId="0">
      <alignment horizontal="center"/>
    </xf>
    <xf numFmtId="166" fontId="16" fillId="5" borderId="1" applyAlignment="1" pivotButton="0" quotePrefix="0" xfId="0">
      <alignment horizontal="center"/>
    </xf>
    <xf numFmtId="0" fontId="17" fillId="0" borderId="0" pivotButton="0" quotePrefix="0" xfId="0"/>
    <xf numFmtId="0" fontId="18" fillId="0" borderId="1" applyAlignment="1" pivotButton="0" quotePrefix="0" xfId="0">
      <alignment horizontal="center"/>
    </xf>
    <xf numFmtId="0" fontId="1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4" customWidth="1" min="3" max="3"/>
    <col width="34" customWidth="1" min="4" max="4"/>
    <col width="62" customWidth="1" min="5" max="5"/>
    <col width="62" customWidth="1" min="6" max="6"/>
  </cols>
  <sheetData>
    <row r="2">
      <c r="B2" s="1" t="inlineStr">
        <is>
          <t>Today's Session</t>
        </is>
      </c>
    </row>
    <row r="3">
      <c r="B3" s="2" t="inlineStr">
        <is>
          <t>Larkfield Instruments · three historical years · about 60 minutes</t>
        </is>
      </c>
    </row>
    <row r="4">
      <c r="B4" s="3" t="inlineStr">
        <is>
          <t>Do not build the forecast today. Historicals, ratios, assumptions - then stop.</t>
        </is>
      </c>
    </row>
    <row r="7">
      <c r="B7" s="4" t="inlineStr">
        <is>
          <t>Step</t>
        </is>
      </c>
      <c r="C7" s="4" t="inlineStr">
        <is>
          <t>Time</t>
        </is>
      </c>
      <c r="D7" s="4" t="inlineStr">
        <is>
          <t>Task</t>
        </is>
      </c>
      <c r="E7" s="4" t="inlineStr">
        <is>
          <t>What to do</t>
        </is>
      </c>
      <c r="F7" s="4" t="inlineStr">
        <is>
          <t>How to check yourself</t>
        </is>
      </c>
    </row>
    <row r="8" ht="62" customHeight="1">
      <c r="B8" s="5" t="inlineStr">
        <is>
          <t>1</t>
        </is>
      </c>
      <c r="C8" s="6" t="inlineStr">
        <is>
          <t>15 min</t>
        </is>
      </c>
      <c r="D8" s="7" t="inlineStr">
        <is>
          <t>Type the historicals into your skeleton</t>
        </is>
      </c>
      <c r="E8" s="8" t="inlineStr">
        <is>
          <t>Three years, every line, straight into the columns you already built. All of it in BLUE - these are inputs. Use the Historicals tab here if you would rather not retype from the report.</t>
        </is>
      </c>
      <c r="F8" s="9" t="inlineStr">
        <is>
          <t>Check: your balance check row reads zero in all three years. If it does not, the transcription is wrong, not the model.</t>
        </is>
      </c>
    </row>
    <row r="9" ht="62" customHeight="1">
      <c r="B9" s="5" t="inlineStr">
        <is>
          <t>2</t>
        </is>
      </c>
      <c r="C9" s="6" t="inlineStr">
        <is>
          <t>25 min</t>
        </is>
      </c>
      <c r="D9" s="7" t="inlineStr">
        <is>
          <t>Compute every historical ratio</t>
        </is>
      </c>
      <c r="E9" s="8" t="inlineStr">
        <is>
          <t>Fill in the Ratio Worksheet tab. Each row names the formula so you are practising the calculation, not guessing the definition. Do all three years for every ratio.</t>
        </is>
      </c>
      <c r="F9" s="9" t="inlineStr">
        <is>
          <t>Check against the Answer Key tab only AFTER you have filled the whole sheet. Checking row by row turns this into copying.</t>
        </is>
      </c>
    </row>
    <row r="10" ht="62" customHeight="1">
      <c r="B10" s="5" t="inlineStr">
        <is>
          <t>3</t>
        </is>
      </c>
      <c r="C10" s="6" t="inlineStr">
        <is>
          <t>20 min</t>
        </is>
      </c>
      <c r="D10" s="7" t="inlineStr">
        <is>
          <t>Set your forecast assumptions</t>
        </is>
      </c>
      <c r="E10" s="8" t="inlineStr">
        <is>
          <t>One value per assumption, in blue, in your assumptions block. For each one decide: stable ratio so use the average, drifting so project the trend, or fixed so use inflation.</t>
        </is>
      </c>
      <c r="F10" s="9" t="inlineStr">
        <is>
          <t>The Answer Key tab has a defensible answer for each and the reason. Yours can differ - but you should be able to say why.</t>
        </is>
      </c>
    </row>
    <row r="13">
      <c r="B13" s="10" t="inlineStr">
        <is>
          <t>BEFORE YOU CALL IT DONE - the closing sweep</t>
        </is>
      </c>
    </row>
    <row r="15">
      <c r="B15" s="11" t="inlineStr"/>
      <c r="C15" s="12" t="inlineStr">
        <is>
          <t>Balance check reads zero in all three years.</t>
        </is>
      </c>
    </row>
    <row r="16">
      <c r="B16" s="11" t="inlineStr"/>
      <c r="C16" s="12" t="inlineStr">
        <is>
          <t>Every number you typed is blue. Every number you calculated is black.</t>
        </is>
      </c>
    </row>
    <row r="17">
      <c r="B17" s="11" t="inlineStr"/>
      <c r="C17" s="12" t="inlineStr">
        <is>
          <t>Minimum cash balance is in your assumptions - note 5, $60.0m. You have missed it twice.</t>
        </is>
      </c>
    </row>
    <row r="18">
      <c r="B18" s="11" t="inlineStr"/>
      <c r="C18" s="12" t="inlineStr">
        <is>
          <t>Dividends as a % of net income is in your assumptions - note 7, about one third.</t>
        </is>
      </c>
    </row>
    <row r="19">
      <c r="B19" s="11" t="inlineStr"/>
      <c r="C19" s="12" t="inlineStr">
        <is>
          <t>There is a Total Liabilities row on the balance sheet.</t>
        </is>
      </c>
    </row>
    <row r="20">
      <c r="B20" s="11" t="inlineStr"/>
      <c r="C20" s="12" t="inlineStr">
        <is>
          <t>For every balance sheet line, its change is on the cash flow statement.</t>
        </is>
      </c>
    </row>
    <row r="21">
      <c r="B21" s="11" t="inlineStr"/>
      <c r="C21" s="12" t="inlineStr">
        <is>
          <t>For every change on the cash flow statement, there is a balance it came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7"/>
  <sheetViews>
    <sheetView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3" customWidth="1" min="3" max="3"/>
    <col width="13" customWidth="1" min="4" max="4"/>
    <col width="13" customWidth="1" min="5" max="5"/>
    <col width="13" customWidth="1" min="6" max="6"/>
  </cols>
  <sheetData>
    <row r="2">
      <c r="B2" s="13" t="inlineStr">
        <is>
          <t>Larkfield Instruments plc</t>
        </is>
      </c>
    </row>
    <row r="3">
      <c r="B3" s="2" t="inlineStr">
        <is>
          <t>Fictional company. $ millions. Fiscal years ended 30 June.</t>
        </is>
      </c>
    </row>
    <row r="4">
      <c r="B4" s="14" t="inlineStr">
        <is>
          <t>Every figure below is a hardcoded input - shown in blue, the convention you should be using.</t>
        </is>
      </c>
    </row>
    <row r="7">
      <c r="B7" s="4" t="inlineStr">
        <is>
          <t>$ millions</t>
        </is>
      </c>
      <c r="C7" s="15" t="inlineStr"/>
      <c r="D7" s="16" t="inlineStr">
        <is>
          <t>FY2022</t>
        </is>
      </c>
      <c r="E7" s="16" t="inlineStr">
        <is>
          <t>FY2023</t>
        </is>
      </c>
      <c r="F7" s="16" t="inlineStr">
        <is>
          <t>FY2024</t>
        </is>
      </c>
    </row>
    <row r="8">
      <c r="B8" s="17" t="inlineStr">
        <is>
          <t>INCOME STATEMENT</t>
        </is>
      </c>
      <c r="C8" s="18" t="n"/>
      <c r="D8" s="18" t="n"/>
      <c r="E8" s="18" t="n"/>
      <c r="F8" s="18" t="n"/>
    </row>
    <row r="9">
      <c r="B9" s="12" t="inlineStr">
        <is>
          <t>Revenue</t>
        </is>
      </c>
      <c r="D9" s="19" t="n">
        <v>820.4</v>
      </c>
      <c r="E9" s="19" t="n">
        <v>889.6</v>
      </c>
      <c r="F9" s="19" t="n">
        <v>950.2</v>
      </c>
    </row>
    <row r="10">
      <c r="B10" s="12" t="inlineStr">
        <is>
          <t>Cost of sales</t>
        </is>
      </c>
      <c r="D10" s="19" t="n">
        <v>-475.8</v>
      </c>
      <c r="E10" s="19" t="n">
        <v>-510.6</v>
      </c>
      <c r="F10" s="19" t="n">
        <v>-540.7</v>
      </c>
    </row>
    <row r="11">
      <c r="B11" s="20" t="inlineStr">
        <is>
          <t>Gross profit</t>
        </is>
      </c>
      <c r="D11" s="21" t="n">
        <v>344.6</v>
      </c>
      <c r="E11" s="21" t="n">
        <v>379</v>
      </c>
      <c r="F11" s="21" t="n">
        <v>409.5</v>
      </c>
    </row>
    <row r="12">
      <c r="B12" s="12" t="inlineStr">
        <is>
          <t>Selling, general and administrative</t>
        </is>
      </c>
      <c r="D12" s="19" t="n">
        <v>-168</v>
      </c>
      <c r="E12" s="19" t="n">
        <v>-176.1</v>
      </c>
      <c r="F12" s="19" t="n">
        <v>-183</v>
      </c>
    </row>
    <row r="13">
      <c r="B13" s="12" t="inlineStr">
        <is>
          <t>Research and development</t>
        </is>
      </c>
      <c r="D13" s="19" t="n">
        <v>-57.4</v>
      </c>
      <c r="E13" s="19" t="n">
        <v>-62.3</v>
      </c>
      <c r="F13" s="19" t="n">
        <v>-67.5</v>
      </c>
    </row>
    <row r="14">
      <c r="B14" s="12" t="inlineStr">
        <is>
          <t>Depreciation</t>
        </is>
      </c>
      <c r="D14" s="19" t="n">
        <v>-34</v>
      </c>
      <c r="E14" s="19" t="n">
        <v>-36.5</v>
      </c>
      <c r="F14" s="19" t="n">
        <v>-39.2</v>
      </c>
    </row>
    <row r="15">
      <c r="B15" s="20" t="inlineStr">
        <is>
          <t>Operating profit (EBIT)</t>
        </is>
      </c>
      <c r="D15" s="21" t="n">
        <v>85.2</v>
      </c>
      <c r="E15" s="21" t="n">
        <v>104.1</v>
      </c>
      <c r="F15" s="21" t="n">
        <v>119.8</v>
      </c>
    </row>
    <row r="16">
      <c r="B16" s="12" t="inlineStr">
        <is>
          <t>Interest expense</t>
        </is>
      </c>
      <c r="D16" s="19" t="n">
        <v>-14.2</v>
      </c>
      <c r="E16" s="19" t="n">
        <v>-13.4</v>
      </c>
      <c r="F16" s="19" t="n">
        <v>-12.5</v>
      </c>
    </row>
    <row r="17">
      <c r="B17" s="12" t="inlineStr">
        <is>
          <t>Interest income</t>
        </is>
      </c>
      <c r="D17" s="19" t="n">
        <v>0.9</v>
      </c>
      <c r="E17" s="19" t="n">
        <v>1.3</v>
      </c>
      <c r="F17" s="19" t="n">
        <v>2</v>
      </c>
    </row>
    <row r="18">
      <c r="B18" s="20" t="inlineStr">
        <is>
          <t>Profit before tax</t>
        </is>
      </c>
      <c r="D18" s="21" t="n">
        <v>71.90000000000001</v>
      </c>
      <c r="E18" s="21" t="n">
        <v>92</v>
      </c>
      <c r="F18" s="21" t="n">
        <v>109.3</v>
      </c>
    </row>
    <row r="19">
      <c r="B19" s="12" t="inlineStr">
        <is>
          <t>Income tax expense</t>
        </is>
      </c>
      <c r="D19" s="19" t="n">
        <v>-17.6</v>
      </c>
      <c r="E19" s="19" t="n">
        <v>-22.5</v>
      </c>
      <c r="F19" s="19" t="n">
        <v>-26.2</v>
      </c>
    </row>
    <row r="20">
      <c r="B20" s="20" t="inlineStr">
        <is>
          <t>Net income</t>
        </is>
      </c>
      <c r="D20" s="21" t="n">
        <v>54.3</v>
      </c>
      <c r="E20" s="21" t="n">
        <v>69.5</v>
      </c>
      <c r="F20" s="21" t="n">
        <v>83.09999999999999</v>
      </c>
    </row>
    <row r="21">
      <c r="B21" s="12" t="inlineStr">
        <is>
          <t>Dividends declared</t>
        </is>
      </c>
      <c r="D21" s="19" t="n">
        <v>-21.6</v>
      </c>
      <c r="E21" s="19" t="n">
        <v>-24.8</v>
      </c>
      <c r="F21" s="19" t="n">
        <v>-27.4</v>
      </c>
    </row>
    <row r="23">
      <c r="B23" s="17" t="inlineStr">
        <is>
          <t>BALANCE SHEET</t>
        </is>
      </c>
      <c r="C23" s="18" t="n"/>
      <c r="D23" s="18" t="n"/>
      <c r="E23" s="18" t="n"/>
      <c r="F23" s="18" t="n"/>
    </row>
    <row r="24">
      <c r="B24" s="12" t="inlineStr">
        <is>
          <t>Cash and cash equivalents</t>
        </is>
      </c>
      <c r="D24" s="19" t="n">
        <v>133.6</v>
      </c>
      <c r="E24" s="19" t="n">
        <v>127.4</v>
      </c>
      <c r="F24" s="19" t="n">
        <v>118.3</v>
      </c>
    </row>
    <row r="25">
      <c r="B25" s="12" t="inlineStr">
        <is>
          <t>Trade receivables</t>
        </is>
      </c>
      <c r="D25" s="19" t="n">
        <v>116.9</v>
      </c>
      <c r="E25" s="19" t="n">
        <v>131.6</v>
      </c>
      <c r="F25" s="19" t="n">
        <v>145.8</v>
      </c>
    </row>
    <row r="26">
      <c r="B26" s="12" t="inlineStr">
        <is>
          <t>Inventories</t>
        </is>
      </c>
      <c r="D26" s="19" t="n">
        <v>101.7</v>
      </c>
      <c r="E26" s="19" t="n">
        <v>111.9</v>
      </c>
      <c r="F26" s="19" t="n">
        <v>120</v>
      </c>
    </row>
    <row r="27">
      <c r="B27" s="20" t="inlineStr">
        <is>
          <t>Total current assets</t>
        </is>
      </c>
      <c r="D27" s="21" t="n">
        <v>352.2</v>
      </c>
      <c r="E27" s="21" t="n">
        <v>370.9</v>
      </c>
      <c r="F27" s="21" t="n">
        <v>384.1</v>
      </c>
    </row>
    <row r="28">
      <c r="B28" s="12" t="inlineStr">
        <is>
          <t>Property, plant and equipment, net</t>
        </is>
      </c>
      <c r="D28" s="19" t="n">
        <v>278</v>
      </c>
      <c r="E28" s="19" t="n">
        <v>290.5</v>
      </c>
      <c r="F28" s="19" t="n">
        <v>304.3</v>
      </c>
    </row>
    <row r="29">
      <c r="B29" s="12" t="inlineStr">
        <is>
          <t>Goodwill</t>
        </is>
      </c>
      <c r="D29" s="19" t="n">
        <v>112</v>
      </c>
      <c r="E29" s="19" t="n">
        <v>112</v>
      </c>
      <c r="F29" s="19" t="n">
        <v>112</v>
      </c>
    </row>
    <row r="30">
      <c r="B30" s="12" t="inlineStr">
        <is>
          <t>Intangible assets</t>
        </is>
      </c>
      <c r="D30" s="19" t="n">
        <v>38</v>
      </c>
      <c r="E30" s="19" t="n">
        <v>38</v>
      </c>
      <c r="F30" s="19" t="n">
        <v>38</v>
      </c>
    </row>
    <row r="31">
      <c r="B31" s="20" t="inlineStr">
        <is>
          <t>Total assets</t>
        </is>
      </c>
      <c r="D31" s="21" t="n">
        <v>780.2</v>
      </c>
      <c r="E31" s="21" t="n">
        <v>811.4</v>
      </c>
      <c r="F31" s="21" t="n">
        <v>838.4</v>
      </c>
    </row>
    <row r="32">
      <c r="B32" s="12" t="inlineStr">
        <is>
          <t>Trade payables</t>
        </is>
      </c>
      <c r="D32" s="19" t="n">
        <v>57.4</v>
      </c>
      <c r="E32" s="19" t="n">
        <v>63</v>
      </c>
      <c r="F32" s="19" t="n">
        <v>66.7</v>
      </c>
    </row>
    <row r="33">
      <c r="B33" s="12" t="inlineStr">
        <is>
          <t>Income taxes payable</t>
        </is>
      </c>
      <c r="D33" s="19" t="n">
        <v>2.9</v>
      </c>
      <c r="E33" s="19" t="n">
        <v>3.8</v>
      </c>
      <c r="F33" s="19" t="n">
        <v>4.4</v>
      </c>
    </row>
    <row r="34">
      <c r="B34" s="12" t="inlineStr">
        <is>
          <t>Short-term borrowings</t>
        </is>
      </c>
      <c r="D34" s="19" t="n">
        <v>35</v>
      </c>
      <c r="E34" s="19" t="n">
        <v>35</v>
      </c>
      <c r="F34" s="19" t="n">
        <v>30</v>
      </c>
    </row>
    <row r="35">
      <c r="B35" s="12" t="inlineStr">
        <is>
          <t>Revolving credit facility drawn</t>
        </is>
      </c>
      <c r="D35" s="19" t="n">
        <v>0</v>
      </c>
      <c r="E35" s="19" t="n">
        <v>0</v>
      </c>
      <c r="F35" s="19" t="n">
        <v>0</v>
      </c>
    </row>
    <row r="36">
      <c r="B36" s="20" t="inlineStr">
        <is>
          <t>Total current liabilities</t>
        </is>
      </c>
      <c r="D36" s="21" t="n">
        <v>95.3</v>
      </c>
      <c r="E36" s="21" t="n">
        <v>101.8</v>
      </c>
      <c r="F36" s="21" t="n">
        <v>101.1</v>
      </c>
    </row>
    <row r="37">
      <c r="B37" s="12" t="inlineStr">
        <is>
          <t>Long-term debt</t>
        </is>
      </c>
      <c r="D37" s="19" t="n">
        <v>240</v>
      </c>
      <c r="E37" s="19" t="n">
        <v>220</v>
      </c>
      <c r="F37" s="19" t="n">
        <v>200</v>
      </c>
    </row>
    <row r="38">
      <c r="B38" s="20" t="inlineStr">
        <is>
          <t>Total liabilities</t>
        </is>
      </c>
      <c r="D38" s="21" t="n">
        <v>335.3</v>
      </c>
      <c r="E38" s="21" t="n">
        <v>321.8</v>
      </c>
      <c r="F38" s="21" t="n">
        <v>301.1</v>
      </c>
    </row>
    <row r="39">
      <c r="B39" s="12" t="inlineStr">
        <is>
          <t>Common equity</t>
        </is>
      </c>
      <c r="D39" s="19" t="n">
        <v>180</v>
      </c>
      <c r="E39" s="19" t="n">
        <v>180</v>
      </c>
      <c r="F39" s="19" t="n">
        <v>172</v>
      </c>
    </row>
    <row r="40">
      <c r="B40" s="12" t="inlineStr">
        <is>
          <t>Retained earnings</t>
        </is>
      </c>
      <c r="D40" s="19" t="n">
        <v>264.9</v>
      </c>
      <c r="E40" s="19" t="n">
        <v>309.6</v>
      </c>
      <c r="F40" s="19" t="n">
        <v>365.3</v>
      </c>
    </row>
    <row r="41">
      <c r="B41" s="20" t="inlineStr">
        <is>
          <t>Total shareholders' equity</t>
        </is>
      </c>
      <c r="D41" s="21" t="n">
        <v>444.9</v>
      </c>
      <c r="E41" s="21" t="n">
        <v>489.6</v>
      </c>
      <c r="F41" s="21" t="n">
        <v>537.3</v>
      </c>
    </row>
    <row r="42">
      <c r="B42" s="20" t="inlineStr">
        <is>
          <t>Total liabilities and equity</t>
        </is>
      </c>
      <c r="D42" s="21" t="n">
        <v>780.2</v>
      </c>
      <c r="E42" s="21" t="n">
        <v>811.4</v>
      </c>
      <c r="F42" s="21" t="n">
        <v>838.4</v>
      </c>
    </row>
    <row r="44">
      <c r="B44" s="17" t="inlineStr">
        <is>
          <t>CASH FLOW STATEMENT</t>
        </is>
      </c>
      <c r="C44" s="18" t="n"/>
      <c r="D44" s="18" t="n"/>
      <c r="E44" s="18" t="n"/>
      <c r="F44" s="18" t="n"/>
    </row>
    <row r="45">
      <c r="B45" s="12" t="inlineStr">
        <is>
          <t>Net income</t>
        </is>
      </c>
      <c r="D45" s="19" t="n">
        <v>54.3</v>
      </c>
      <c r="E45" s="19" t="n">
        <v>69.5</v>
      </c>
      <c r="F45" s="19" t="n">
        <v>83.09999999999999</v>
      </c>
    </row>
    <row r="46">
      <c r="B46" s="12" t="inlineStr">
        <is>
          <t>Depreciation add-back</t>
        </is>
      </c>
      <c r="D46" s="19" t="n">
        <v>34</v>
      </c>
      <c r="E46" s="19" t="n">
        <v>36.5</v>
      </c>
      <c r="F46" s="19" t="n">
        <v>39.2</v>
      </c>
    </row>
    <row r="47">
      <c r="B47" s="12" t="inlineStr">
        <is>
          <t>Change in trade receivables</t>
        </is>
      </c>
      <c r="D47" s="19" t="n">
        <v>-10.4</v>
      </c>
      <c r="E47" s="19" t="n">
        <v>-14.7</v>
      </c>
      <c r="F47" s="19" t="n">
        <v>-14.2</v>
      </c>
    </row>
    <row r="48">
      <c r="B48" s="12" t="inlineStr">
        <is>
          <t>Change in inventories</t>
        </is>
      </c>
      <c r="D48" s="19" t="n">
        <v>-7.7</v>
      </c>
      <c r="E48" s="19" t="n">
        <v>-10.2</v>
      </c>
      <c r="F48" s="19" t="n">
        <v>-8.1</v>
      </c>
    </row>
    <row r="49">
      <c r="B49" s="12" t="inlineStr">
        <is>
          <t>Change in trade payables</t>
        </is>
      </c>
      <c r="D49" s="19" t="n">
        <v>3.7</v>
      </c>
      <c r="E49" s="19" t="n">
        <v>5.6</v>
      </c>
      <c r="F49" s="19" t="n">
        <v>3.7</v>
      </c>
    </row>
    <row r="50">
      <c r="B50" s="12" t="inlineStr">
        <is>
          <t>Change in income taxes payable</t>
        </is>
      </c>
      <c r="D50" s="19" t="n">
        <v>0.6</v>
      </c>
      <c r="E50" s="19" t="n">
        <v>0.9</v>
      </c>
      <c r="F50" s="19" t="n">
        <v>0.6</v>
      </c>
    </row>
    <row r="51">
      <c r="B51" s="20" t="inlineStr">
        <is>
          <t>Net cash from operating activities</t>
        </is>
      </c>
      <c r="D51" s="21" t="n">
        <v>74.5</v>
      </c>
      <c r="E51" s="21" t="n">
        <v>87.59999999999999</v>
      </c>
      <c r="F51" s="21" t="n">
        <v>104.3</v>
      </c>
    </row>
    <row r="52">
      <c r="B52" s="12" t="inlineStr">
        <is>
          <t>Capital expenditure</t>
        </is>
      </c>
      <c r="D52" s="19" t="n">
        <v>-44</v>
      </c>
      <c r="E52" s="19" t="n">
        <v>-49</v>
      </c>
      <c r="F52" s="19" t="n">
        <v>-53</v>
      </c>
    </row>
    <row r="53">
      <c r="B53" s="20" t="inlineStr">
        <is>
          <t>Net cash used in investing activities</t>
        </is>
      </c>
      <c r="D53" s="21" t="n">
        <v>-44</v>
      </c>
      <c r="E53" s="21" t="n">
        <v>-49</v>
      </c>
      <c r="F53" s="21" t="n">
        <v>-53</v>
      </c>
    </row>
    <row r="54">
      <c r="B54" s="12" t="inlineStr">
        <is>
          <t>Repayment of long-term debt</t>
        </is>
      </c>
      <c r="D54" s="19" t="n">
        <v>-20</v>
      </c>
      <c r="E54" s="19" t="n">
        <v>-20</v>
      </c>
      <c r="F54" s="19" t="n">
        <v>-20</v>
      </c>
    </row>
    <row r="55">
      <c r="B55" s="12" t="inlineStr">
        <is>
          <t>Change in short-term borrowings</t>
        </is>
      </c>
      <c r="D55" s="19" t="n">
        <v>0</v>
      </c>
      <c r="E55" s="19" t="n">
        <v>0</v>
      </c>
      <c r="F55" s="19" t="n">
        <v>-5</v>
      </c>
    </row>
    <row r="56">
      <c r="B56" s="12" t="inlineStr">
        <is>
          <t>Repurchase of common equity</t>
        </is>
      </c>
      <c r="D56" s="19" t="n">
        <v>0</v>
      </c>
      <c r="E56" s="19" t="n">
        <v>0</v>
      </c>
      <c r="F56" s="19" t="n">
        <v>-8</v>
      </c>
    </row>
    <row r="57">
      <c r="B57" s="12" t="inlineStr">
        <is>
          <t>Dividends paid</t>
        </is>
      </c>
      <c r="D57" s="19" t="n">
        <v>-21.6</v>
      </c>
      <c r="E57" s="19" t="n">
        <v>-24.8</v>
      </c>
      <c r="F57" s="19" t="n">
        <v>-27.4</v>
      </c>
    </row>
    <row r="58">
      <c r="B58" s="20" t="inlineStr">
        <is>
          <t>Net cash used in financing activities</t>
        </is>
      </c>
      <c r="D58" s="21" t="n">
        <v>-41.6</v>
      </c>
      <c r="E58" s="21" t="n">
        <v>-44.8</v>
      </c>
      <c r="F58" s="21" t="n">
        <v>-60.4</v>
      </c>
    </row>
    <row r="59">
      <c r="B59" s="20" t="inlineStr">
        <is>
          <t>Net change in cash</t>
        </is>
      </c>
      <c r="D59" s="21" t="n">
        <v>-11.1</v>
      </c>
      <c r="E59" s="21" t="n">
        <v>-6.2</v>
      </c>
      <c r="F59" s="21" t="n">
        <v>-9.1</v>
      </c>
    </row>
    <row r="60">
      <c r="B60" s="12" t="inlineStr">
        <is>
          <t>Cash at beginning of year</t>
        </is>
      </c>
      <c r="D60" s="19" t="n">
        <v>144.7</v>
      </c>
      <c r="E60" s="19" t="n">
        <v>133.6</v>
      </c>
      <c r="F60" s="19" t="n">
        <v>127.4</v>
      </c>
    </row>
    <row r="61">
      <c r="B61" s="20" t="inlineStr">
        <is>
          <t>Cash at end of year</t>
        </is>
      </c>
      <c r="D61" s="21" t="n">
        <v>133.6</v>
      </c>
      <c r="E61" s="21" t="n">
        <v>127.4</v>
      </c>
      <c r="F61" s="21" t="n">
        <v>118.3</v>
      </c>
    </row>
    <row r="63">
      <c r="B63" s="17" t="inlineStr">
        <is>
          <t>FROM THE NOTES</t>
        </is>
      </c>
      <c r="C63" s="18" t="n"/>
      <c r="D63" s="18" t="n"/>
      <c r="E63" s="18" t="n"/>
      <c r="F63" s="18" t="n"/>
    </row>
    <row r="64">
      <c r="B64" s="12" t="inlineStr">
        <is>
          <t>Opening PP&amp;E net book value</t>
        </is>
      </c>
      <c r="D64" s="19" t="n">
        <v>268</v>
      </c>
      <c r="E64" s="19" t="n">
        <v>278</v>
      </c>
      <c r="F64" s="19" t="n">
        <v>290.5</v>
      </c>
    </row>
    <row r="65">
      <c r="B65" s="12" t="inlineStr">
        <is>
          <t>Days sales outstanding (stated)</t>
        </is>
      </c>
      <c r="D65" s="19" t="n">
        <v>52</v>
      </c>
      <c r="E65" s="19" t="n">
        <v>54</v>
      </c>
      <c r="F65" s="19" t="n">
        <v>56</v>
      </c>
    </row>
    <row r="66">
      <c r="B66" s="12" t="inlineStr">
        <is>
          <t>Days inventory held (stated)</t>
        </is>
      </c>
      <c r="D66" s="19" t="n">
        <v>78</v>
      </c>
      <c r="E66" s="19" t="n">
        <v>80</v>
      </c>
      <c r="F66" s="19" t="n">
        <v>81</v>
      </c>
    </row>
    <row r="67">
      <c r="B67" s="12" t="inlineStr">
        <is>
          <t>Days payables outstanding (stated)</t>
        </is>
      </c>
      <c r="D67" s="19" t="n">
        <v>44</v>
      </c>
      <c r="E67" s="19" t="n">
        <v>45</v>
      </c>
      <c r="F67" s="1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7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58" customWidth="1" min="3" max="3"/>
    <col width="13" customWidth="1" min="4" max="4"/>
    <col width="13" customWidth="1" min="5" max="5"/>
    <col width="13" customWidth="1" min="6" max="6"/>
  </cols>
  <sheetData>
    <row r="1"/>
    <row r="2">
      <c r="B2" s="13" t="inlineStr">
        <is>
          <t>Ratio Worksheet</t>
        </is>
      </c>
    </row>
    <row r="3">
      <c r="B3" s="2" t="inlineStr">
        <is>
          <t>Fill the yellow cells yourself, referencing your own model. Do the whole sheet before you open the Answer Key.</t>
        </is>
      </c>
    </row>
    <row r="4"/>
    <row r="5"/>
    <row r="6">
      <c r="B6" s="4" t="inlineStr">
        <is>
          <t>Ratio</t>
        </is>
      </c>
      <c r="C6" s="4" t="inlineStr">
        <is>
          <t>How to compute it</t>
        </is>
      </c>
      <c r="D6" s="16" t="inlineStr">
        <is>
          <t>FY2022</t>
        </is>
      </c>
      <c r="E6" s="16" t="inlineStr">
        <is>
          <t>FY2023</t>
        </is>
      </c>
      <c r="F6" s="16" t="inlineStr">
        <is>
          <t>FY2024</t>
        </is>
      </c>
    </row>
    <row r="7">
      <c r="B7" s="17" t="inlineStr">
        <is>
          <t>GROWTH AND MARGIN</t>
        </is>
      </c>
      <c r="C7" s="18" t="n"/>
      <c r="D7" s="18" t="n"/>
      <c r="E7" s="18" t="n"/>
      <c r="F7" s="18" t="n"/>
    </row>
    <row r="8">
      <c r="B8" s="12" t="inlineStr">
        <is>
          <t>Revenue growth %</t>
        </is>
      </c>
      <c r="C8" s="22" t="inlineStr">
        <is>
          <t>this year / last year - 1</t>
        </is>
      </c>
      <c r="D8" s="23" t="inlineStr">
        <is>
          <t>n/a</t>
        </is>
      </c>
      <c r="E8" s="24" t="n"/>
      <c r="F8" s="24" t="n"/>
    </row>
    <row r="9">
      <c r="B9" s="12" t="inlineStr">
        <is>
          <t>Gross margin %</t>
        </is>
      </c>
      <c r="C9" s="22" t="inlineStr">
        <is>
          <t>gross profit / revenue</t>
        </is>
      </c>
      <c r="D9" s="24" t="n"/>
      <c r="E9" s="24" t="n"/>
      <c r="F9" s="24" t="n"/>
    </row>
    <row r="10">
      <c r="B10" s="12" t="inlineStr">
        <is>
          <t>SG&amp;A as % of revenue</t>
        </is>
      </c>
      <c r="C10" s="22" t="inlineStr">
        <is>
          <t>SG&amp;A / revenue   (watch this one)</t>
        </is>
      </c>
      <c r="D10" s="24" t="n"/>
      <c r="E10" s="24" t="n"/>
      <c r="F10" s="24" t="n"/>
    </row>
    <row r="11">
      <c r="B11" s="12" t="inlineStr">
        <is>
          <t>SG&amp;A growth %</t>
        </is>
      </c>
      <c r="C11" s="22" t="inlineStr">
        <is>
          <t>this year / last year - 1   (compare to the line above)</t>
        </is>
      </c>
      <c r="D11" s="23" t="inlineStr">
        <is>
          <t>n/a</t>
        </is>
      </c>
      <c r="E11" s="24" t="n"/>
      <c r="F11" s="24" t="n"/>
    </row>
    <row r="12">
      <c r="B12" s="12" t="inlineStr">
        <is>
          <t>R&amp;D as % of revenue</t>
        </is>
      </c>
      <c r="C12" s="22" t="inlineStr">
        <is>
          <t>R&amp;D / revenue</t>
        </is>
      </c>
      <c r="D12" s="24" t="n"/>
      <c r="E12" s="24" t="n"/>
      <c r="F12" s="24" t="n"/>
    </row>
    <row r="13">
      <c r="B13" s="12" t="inlineStr">
        <is>
          <t>Effective tax rate</t>
        </is>
      </c>
      <c r="C13" s="22" t="inlineStr">
        <is>
          <t>tax expense / profit before tax</t>
        </is>
      </c>
      <c r="D13" s="24" t="n"/>
      <c r="E13" s="24" t="n"/>
      <c r="F13" s="24" t="n"/>
    </row>
    <row r="14">
      <c r="B14" s="12" t="inlineStr">
        <is>
          <t>Dividend payout %</t>
        </is>
      </c>
      <c r="C14" s="22" t="inlineStr">
        <is>
          <t>dividends / net income</t>
        </is>
      </c>
      <c r="D14" s="24" t="n"/>
      <c r="E14" s="24" t="n"/>
      <c r="F14" s="24" t="n"/>
    </row>
    <row r="15"/>
    <row r="16">
      <c r="B16" s="17" t="inlineStr">
        <is>
          <t>WORKING CAPITAL DAYS</t>
        </is>
      </c>
      <c r="C16" s="18" t="n"/>
      <c r="D16" s="18" t="n"/>
      <c r="E16" s="18" t="n"/>
      <c r="F16" s="18" t="n"/>
    </row>
    <row r="17">
      <c r="B17" s="12" t="inlineStr">
        <is>
          <t>Days sales outstanding</t>
        </is>
      </c>
      <c r="C17" s="22" t="inlineStr">
        <is>
          <t>receivables / revenue x 365</t>
        </is>
      </c>
      <c r="D17" s="25" t="n"/>
      <c r="E17" s="25" t="n"/>
      <c r="F17" s="25" t="n"/>
    </row>
    <row r="18">
      <c r="B18" s="12" t="inlineStr">
        <is>
          <t>Days inventory held</t>
        </is>
      </c>
      <c r="C18" s="22" t="inlineStr">
        <is>
          <t>inventory / COGS x 365   (COGS, not revenue)</t>
        </is>
      </c>
      <c r="D18" s="25" t="n"/>
      <c r="E18" s="25" t="n"/>
      <c r="F18" s="25" t="n"/>
    </row>
    <row r="19">
      <c r="B19" s="12" t="inlineStr">
        <is>
          <t>Days payables outstanding</t>
        </is>
      </c>
      <c r="C19" s="22" t="inlineStr">
        <is>
          <t>payables / COGS x 365</t>
        </is>
      </c>
      <c r="D19" s="25" t="n"/>
      <c r="E19" s="25" t="n"/>
      <c r="F19" s="25" t="n"/>
    </row>
    <row r="20">
      <c r="B20" s="12" t="inlineStr">
        <is>
          <t>Income tax payable days</t>
        </is>
      </c>
      <c r="C20" s="22" t="inlineStr">
        <is>
          <t>tax payable / tax expense x 365</t>
        </is>
      </c>
      <c r="D20" s="25" t="n"/>
      <c r="E20" s="25" t="n"/>
      <c r="F20" s="25" t="n"/>
    </row>
    <row r="21"/>
    <row r="22">
      <c r="B22" s="17" t="inlineStr">
        <is>
          <t>FIXED ASSETS</t>
        </is>
      </c>
      <c r="C22" s="18" t="n"/>
      <c r="D22" s="18" t="n"/>
      <c r="E22" s="18" t="n"/>
      <c r="F22" s="18" t="n"/>
    </row>
    <row r="23">
      <c r="B23" s="12" t="inlineStr">
        <is>
          <t>Capex as % of revenue</t>
        </is>
      </c>
      <c r="C23" s="22" t="inlineStr">
        <is>
          <t>capex / revenue</t>
        </is>
      </c>
      <c r="D23" s="24" t="n"/>
      <c r="E23" s="24" t="n"/>
      <c r="F23" s="24" t="n"/>
    </row>
    <row r="24">
      <c r="B24" s="12" t="inlineStr">
        <is>
          <t>Depreciation as % of opening PP&amp;E</t>
        </is>
      </c>
      <c r="C24" s="22" t="inlineStr">
        <is>
          <t>depreciation / OPENING net book value</t>
        </is>
      </c>
      <c r="D24" s="24" t="n"/>
      <c r="E24" s="24" t="n"/>
      <c r="F24" s="24" t="n"/>
    </row>
    <row r="25"/>
    <row r="26">
      <c r="B26" s="17" t="inlineStr">
        <is>
          <t>DEBT</t>
        </is>
      </c>
      <c r="C26" s="18" t="n"/>
      <c r="D26" s="18" t="n"/>
      <c r="E26" s="18" t="n"/>
      <c r="F26" s="18" t="n"/>
    </row>
    <row r="27">
      <c r="B27" s="12" t="inlineStr">
        <is>
          <t>Long-term debt interest rate</t>
        </is>
      </c>
      <c r="C27" s="22" t="inlineStr">
        <is>
          <t>interest expense / average long-term debt   (will NOT match the note - see why in the key)</t>
        </is>
      </c>
      <c r="D27" s="23" t="inlineStr">
        <is>
          <t>n/a</t>
        </is>
      </c>
      <c r="E27" s="24" t="n"/>
      <c r="F27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55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104" customWidth="1" min="4" max="4"/>
    <col width="13" customWidth="1" min="5" max="5"/>
    <col width="13" customWidth="1" min="6" max="6"/>
  </cols>
  <sheetData>
    <row r="1"/>
    <row r="2">
      <c r="B2" s="13" t="inlineStr">
        <is>
          <t>Answer Key</t>
        </is>
      </c>
    </row>
    <row r="3">
      <c r="B3" s="2" t="inlineStr">
        <is>
          <t>Every figure here is a live formula reading the Historicals tab - click a cell to see the calculation.</t>
        </is>
      </c>
    </row>
    <row r="4"/>
    <row r="5"/>
    <row r="6">
      <c r="B6" s="4" t="inlineStr">
        <is>
          <t>Ratio</t>
        </is>
      </c>
      <c r="C6" s="4" t="inlineStr">
        <is>
          <t>How to compute it</t>
        </is>
      </c>
      <c r="D6" s="16" t="inlineStr">
        <is>
          <t>FY2022</t>
        </is>
      </c>
      <c r="E6" s="16" t="inlineStr">
        <is>
          <t>FY2023</t>
        </is>
      </c>
      <c r="F6" s="16" t="inlineStr">
        <is>
          <t>FY2024</t>
        </is>
      </c>
    </row>
    <row r="7">
      <c r="B7" s="17" t="inlineStr">
        <is>
          <t>GROWTH AND MARGIN</t>
        </is>
      </c>
      <c r="C7" s="18" t="n"/>
      <c r="D7" s="18" t="n"/>
      <c r="E7" s="18" t="n"/>
      <c r="F7" s="18" t="n"/>
    </row>
    <row r="8">
      <c r="B8" s="12" t="inlineStr">
        <is>
          <t>Revenue growth %</t>
        </is>
      </c>
      <c r="C8" s="22" t="inlineStr">
        <is>
          <t>this year / last year - 1</t>
        </is>
      </c>
      <c r="D8" s="23" t="inlineStr">
        <is>
          <t>n/a</t>
        </is>
      </c>
      <c r="E8" s="26">
        <f>Historicals!E9/Historicals!D9-1</f>
        <v/>
      </c>
      <c r="F8" s="26">
        <f>Historicals!F9/Historicals!E9-1</f>
        <v/>
      </c>
    </row>
    <row r="9">
      <c r="B9" s="12" t="inlineStr">
        <is>
          <t>Gross margin %</t>
        </is>
      </c>
      <c r="C9" s="22" t="inlineStr">
        <is>
          <t>gross profit / revenue</t>
        </is>
      </c>
      <c r="D9" s="26">
        <f>Historicals!D11/Historicals!D9</f>
        <v/>
      </c>
      <c r="E9" s="26">
        <f>Historicals!E11/Historicals!E9</f>
        <v/>
      </c>
      <c r="F9" s="26">
        <f>Historicals!F11/Historicals!F9</f>
        <v/>
      </c>
    </row>
    <row r="10">
      <c r="B10" s="12" t="inlineStr">
        <is>
          <t>SG&amp;A as % of revenue</t>
        </is>
      </c>
      <c r="C10" s="22" t="inlineStr">
        <is>
          <t>SG&amp;A / revenue   (watch this one)</t>
        </is>
      </c>
      <c r="D10" s="26">
        <f>-Historicals!D12/Historicals!D9</f>
        <v/>
      </c>
      <c r="E10" s="26">
        <f>-Historicals!E12/Historicals!E9</f>
        <v/>
      </c>
      <c r="F10" s="26">
        <f>-Historicals!F12/Historicals!F9</f>
        <v/>
      </c>
    </row>
    <row r="11">
      <c r="B11" s="12" t="inlineStr">
        <is>
          <t>SG&amp;A growth %</t>
        </is>
      </c>
      <c r="C11" s="22" t="inlineStr">
        <is>
          <t>this year / last year - 1   (compare to the line above)</t>
        </is>
      </c>
      <c r="D11" s="23" t="inlineStr">
        <is>
          <t>n/a</t>
        </is>
      </c>
      <c r="E11" s="26">
        <f>Historicals!E12/Historicals!D12-1</f>
        <v/>
      </c>
      <c r="F11" s="26">
        <f>Historicals!F12/Historicals!E12-1</f>
        <v/>
      </c>
    </row>
    <row r="12">
      <c r="B12" s="12" t="inlineStr">
        <is>
          <t>R&amp;D as % of revenue</t>
        </is>
      </c>
      <c r="C12" s="22" t="inlineStr">
        <is>
          <t>R&amp;D / revenue</t>
        </is>
      </c>
      <c r="D12" s="26">
        <f>-Historicals!D13/Historicals!D9</f>
        <v/>
      </c>
      <c r="E12" s="26">
        <f>-Historicals!E13/Historicals!E9</f>
        <v/>
      </c>
      <c r="F12" s="26">
        <f>-Historicals!F13/Historicals!F9</f>
        <v/>
      </c>
    </row>
    <row r="13">
      <c r="B13" s="12" t="inlineStr">
        <is>
          <t>Effective tax rate</t>
        </is>
      </c>
      <c r="C13" s="22" t="inlineStr">
        <is>
          <t>tax expense / profit before tax</t>
        </is>
      </c>
      <c r="D13" s="26">
        <f>-Historicals!D19/Historicals!D18</f>
        <v/>
      </c>
      <c r="E13" s="26">
        <f>-Historicals!E19/Historicals!E18</f>
        <v/>
      </c>
      <c r="F13" s="26">
        <f>-Historicals!F19/Historicals!F18</f>
        <v/>
      </c>
    </row>
    <row r="14">
      <c r="B14" s="12" t="inlineStr">
        <is>
          <t>Dividend payout %</t>
        </is>
      </c>
      <c r="C14" s="22" t="inlineStr">
        <is>
          <t>dividends / net income</t>
        </is>
      </c>
      <c r="D14" s="26">
        <f>-Historicals!D21/Historicals!D20</f>
        <v/>
      </c>
      <c r="E14" s="26">
        <f>-Historicals!E21/Historicals!E20</f>
        <v/>
      </c>
      <c r="F14" s="26">
        <f>-Historicals!F21/Historicals!F20</f>
        <v/>
      </c>
    </row>
    <row r="15"/>
    <row r="16">
      <c r="B16" s="17" t="inlineStr">
        <is>
          <t>WORKING CAPITAL DAYS</t>
        </is>
      </c>
      <c r="C16" s="18" t="n"/>
      <c r="D16" s="18" t="n"/>
      <c r="E16" s="18" t="n"/>
      <c r="F16" s="18" t="n"/>
    </row>
    <row r="17">
      <c r="B17" s="12" t="inlineStr">
        <is>
          <t>Days sales outstanding</t>
        </is>
      </c>
      <c r="C17" s="22" t="inlineStr">
        <is>
          <t>receivables / revenue x 365</t>
        </is>
      </c>
      <c r="D17" s="27">
        <f>Historicals!D25/Historicals!D9*365</f>
        <v/>
      </c>
      <c r="E17" s="27">
        <f>Historicals!E25/Historicals!E9*365</f>
        <v/>
      </c>
      <c r="F17" s="27">
        <f>Historicals!F25/Historicals!F9*365</f>
        <v/>
      </c>
    </row>
    <row r="18">
      <c r="B18" s="12" t="inlineStr">
        <is>
          <t>Days inventory held</t>
        </is>
      </c>
      <c r="C18" s="22" t="inlineStr">
        <is>
          <t>inventory / COGS x 365   (COGS, not revenue)</t>
        </is>
      </c>
      <c r="D18" s="27">
        <f>Historicals!D26/-Historicals!D10*365</f>
        <v/>
      </c>
      <c r="E18" s="27">
        <f>Historicals!E26/-Historicals!E10*365</f>
        <v/>
      </c>
      <c r="F18" s="27">
        <f>Historicals!F26/-Historicals!F10*365</f>
        <v/>
      </c>
    </row>
    <row r="19">
      <c r="B19" s="12" t="inlineStr">
        <is>
          <t>Days payables outstanding</t>
        </is>
      </c>
      <c r="C19" s="22" t="inlineStr">
        <is>
          <t>payables / COGS x 365</t>
        </is>
      </c>
      <c r="D19" s="27">
        <f>Historicals!D32/-Historicals!D10*365</f>
        <v/>
      </c>
      <c r="E19" s="27">
        <f>Historicals!E32/-Historicals!E10*365</f>
        <v/>
      </c>
      <c r="F19" s="27">
        <f>Historicals!F32/-Historicals!F10*365</f>
        <v/>
      </c>
    </row>
    <row r="20">
      <c r="B20" s="12" t="inlineStr">
        <is>
          <t>Income tax payable days</t>
        </is>
      </c>
      <c r="C20" s="22" t="inlineStr">
        <is>
          <t>tax payable / tax expense x 365</t>
        </is>
      </c>
      <c r="D20" s="27">
        <f>Historicals!D33/-Historicals!D19*365</f>
        <v/>
      </c>
      <c r="E20" s="27">
        <f>Historicals!E33/-Historicals!E19*365</f>
        <v/>
      </c>
      <c r="F20" s="27">
        <f>Historicals!F33/-Historicals!F19*365</f>
        <v/>
      </c>
    </row>
    <row r="21"/>
    <row r="22">
      <c r="B22" s="17" t="inlineStr">
        <is>
          <t>FIXED ASSETS</t>
        </is>
      </c>
      <c r="C22" s="18" t="n"/>
      <c r="D22" s="18" t="n"/>
      <c r="E22" s="18" t="n"/>
      <c r="F22" s="18" t="n"/>
    </row>
    <row r="23">
      <c r="B23" s="12" t="inlineStr">
        <is>
          <t>Capex as % of revenue</t>
        </is>
      </c>
      <c r="C23" s="22" t="inlineStr">
        <is>
          <t>capex / revenue</t>
        </is>
      </c>
      <c r="D23" s="26">
        <f>-Historicals!D52/Historicals!D9</f>
        <v/>
      </c>
      <c r="E23" s="26">
        <f>-Historicals!E52/Historicals!E9</f>
        <v/>
      </c>
      <c r="F23" s="26">
        <f>-Historicals!F52/Historicals!F9</f>
        <v/>
      </c>
    </row>
    <row r="24">
      <c r="B24" s="12" t="inlineStr">
        <is>
          <t>Depreciation as % of opening PP&amp;E</t>
        </is>
      </c>
      <c r="C24" s="22" t="inlineStr">
        <is>
          <t>depreciation / OPENING net book value</t>
        </is>
      </c>
      <c r="D24" s="26">
        <f>-Historicals!D14/Historicals!D64</f>
        <v/>
      </c>
      <c r="E24" s="26">
        <f>-Historicals!E14/Historicals!E64</f>
        <v/>
      </c>
      <c r="F24" s="26">
        <f>-Historicals!F14/Historicals!F64</f>
        <v/>
      </c>
    </row>
    <row r="25"/>
    <row r="26">
      <c r="B26" s="17" t="inlineStr">
        <is>
          <t>DEBT</t>
        </is>
      </c>
      <c r="C26" s="18" t="n"/>
      <c r="D26" s="18" t="n"/>
      <c r="E26" s="18" t="n"/>
      <c r="F26" s="18" t="n"/>
    </row>
    <row r="27">
      <c r="B27" s="12" t="inlineStr">
        <is>
          <t>Long-term debt interest rate</t>
        </is>
      </c>
      <c r="C27" s="22" t="inlineStr">
        <is>
          <t>interest expense / average long-term debt   (will NOT match the note - see why in the key)</t>
        </is>
      </c>
      <c r="D27" s="23" t="inlineStr">
        <is>
          <t>n/a</t>
        </is>
      </c>
      <c r="E27" s="26">
        <f>-Historicals!E16/AVERAGE(Historicals!E37,Historicals!D37)</f>
        <v/>
      </c>
      <c r="F27" s="26">
        <f>-Historicals!F16/AVERAGE(Historicals!F37,Historicals!E37)</f>
        <v/>
      </c>
    </row>
    <row r="28"/>
    <row r="29"/>
    <row r="30">
      <c r="B30" s="28" t="inlineStr">
        <is>
          <t>WHAT TO SET EACH ASSUMPTION TO</t>
        </is>
      </c>
    </row>
    <row r="31">
      <c r="B31" s="22" t="inlineStr">
        <is>
          <t>Yours can differ from these - but you should be able to say why.</t>
        </is>
      </c>
    </row>
    <row r="32"/>
    <row r="33">
      <c r="B33" s="4" t="inlineStr">
        <is>
          <t>Assumption</t>
        </is>
      </c>
      <c r="C33" s="4" t="inlineStr">
        <is>
          <t>Set it to</t>
        </is>
      </c>
      <c r="D33" s="4" t="inlineStr">
        <is>
          <t>Because</t>
        </is>
      </c>
    </row>
    <row r="34" ht="34" customHeight="1">
      <c r="B34" s="7" t="inlineStr">
        <is>
          <t>Revenue growth %</t>
        </is>
      </c>
      <c r="C34" s="29" t="inlineStr">
        <is>
          <t>6.0% to 6.5%</t>
        </is>
      </c>
      <c r="D34" s="30" t="inlineStr">
        <is>
          <t>Growth decelerated 8.4% to 6.8%. Note 1 guides to mid-single digits. Take the trend, not the average.</t>
        </is>
      </c>
    </row>
    <row r="35" ht="34" customHeight="1">
      <c r="B35" s="7" t="inlineStr">
        <is>
          <t>Gross margin %</t>
        </is>
      </c>
      <c r="C35" s="29" t="inlineStr">
        <is>
          <t>43.1%, or creep to 43.5%</t>
        </is>
      </c>
      <c r="D35" s="30" t="inlineStr">
        <is>
          <t>Rising steadily 42.0 / 42.6 / 43.1. A drifting ratio - project the trend, do not average it back down.</t>
        </is>
      </c>
    </row>
    <row r="36" ht="34" customHeight="1">
      <c r="B36" s="7" t="inlineStr">
        <is>
          <t>SG&amp;A</t>
        </is>
      </c>
      <c r="C36" s="29" t="inlineStr">
        <is>
          <t>Grow at inflation, about 4%</t>
        </is>
      </c>
      <c r="D36" s="30" t="inlineStr">
        <is>
          <t>THE TRAP. As a % of revenue it FALLS 20.5 / 19.8 / 19.3, which looks like a trend but is not one - it is a fixed cost being divided by a growing number. Its own growth is a steady ~4.5%. Note 2 says substantially fixed.</t>
        </is>
      </c>
    </row>
    <row r="37" ht="34" customHeight="1">
      <c r="B37" s="7" t="inlineStr">
        <is>
          <t>R&amp;D as % of revenue</t>
        </is>
      </c>
      <c r="C37" s="29" t="inlineStr">
        <is>
          <t>7.0%</t>
        </is>
      </c>
      <c r="D37" s="30" t="inlineStr">
        <is>
          <t>Dead stable at 7.0 / 7.0 / 7.1. The textbook case for using the average.</t>
        </is>
      </c>
    </row>
    <row r="38" ht="34" customHeight="1">
      <c r="B38" s="7" t="inlineStr">
        <is>
          <t>Depreciation % of opening PP&amp;E</t>
        </is>
      </c>
      <c r="C38" s="29" t="inlineStr">
        <is>
          <t>13.3%</t>
        </is>
      </c>
      <c r="D38" s="30" t="inlineStr">
        <is>
          <t>12.7 / 13.1 / 13.5 - mild drift up. Anywhere in that range is defensible.</t>
        </is>
      </c>
    </row>
    <row r="39" ht="34" customHeight="1">
      <c r="B39" s="7" t="inlineStr">
        <is>
          <t>Capex as % of revenue</t>
        </is>
      </c>
      <c r="C39" s="29" t="inlineStr">
        <is>
          <t>5.6%</t>
        </is>
      </c>
      <c r="D39" s="30" t="inlineStr">
        <is>
          <t>5.4 / 5.5 / 5.6. Stable and slightly rising.</t>
        </is>
      </c>
    </row>
    <row r="40" ht="34" customHeight="1">
      <c r="B40" s="7" t="inlineStr">
        <is>
          <t>Days sales outstanding</t>
        </is>
      </c>
      <c r="C40" s="29" t="inlineStr">
        <is>
          <t>54 to 56</t>
        </is>
      </c>
      <c r="D40" s="30" t="inlineStr">
        <is>
          <t>Lengthening 52 / 54 / 56. Note 3 says management targets below 52 - decide whether you believe them and say so.</t>
        </is>
      </c>
    </row>
    <row r="41" ht="34" customHeight="1">
      <c r="B41" s="7" t="inlineStr">
        <is>
          <t>Days inventory held</t>
        </is>
      </c>
      <c r="C41" s="29" t="inlineStr">
        <is>
          <t>81</t>
        </is>
      </c>
      <c r="D41" s="30" t="inlineStr">
        <is>
          <t>78 / 80 / 81, and note 3 flags a build ahead of an FY2025 product transition.</t>
        </is>
      </c>
    </row>
    <row r="42" ht="34" customHeight="1">
      <c r="B42" s="7" t="inlineStr">
        <is>
          <t>Days payables outstanding</t>
        </is>
      </c>
      <c r="C42" s="29" t="inlineStr">
        <is>
          <t>45</t>
        </is>
      </c>
      <c r="D42" s="30" t="inlineStr">
        <is>
          <t>44 / 45 / 45. Flat.</t>
        </is>
      </c>
    </row>
    <row r="43" ht="34" customHeight="1">
      <c r="B43" s="7" t="inlineStr">
        <is>
          <t>Income tax payable days</t>
        </is>
      </c>
      <c r="C43" s="29" t="inlineStr">
        <is>
          <t>61</t>
        </is>
      </c>
      <c r="D43" s="30" t="inlineStr">
        <is>
          <t>60 / 62 / 61. Flat - use the average.</t>
        </is>
      </c>
    </row>
    <row r="44" ht="34" customHeight="1">
      <c r="B44" s="7" t="inlineStr">
        <is>
          <t>Effective tax rate</t>
        </is>
      </c>
      <c r="C44" s="29" t="inlineStr">
        <is>
          <t>24.0%</t>
        </is>
      </c>
      <c r="D44" s="30" t="inlineStr">
        <is>
          <t>24.5 / 24.5 / 24.0. Note 6 attributes the fall to profit mix, so carry the latest.</t>
        </is>
      </c>
    </row>
    <row r="45" ht="34" customHeight="1">
      <c r="B45" s="7" t="inlineStr">
        <is>
          <t>Dividend payout %</t>
        </is>
      </c>
      <c r="C45" s="29" t="inlineStr">
        <is>
          <t>33%</t>
        </is>
      </c>
      <c r="D45" s="30" t="inlineStr">
        <is>
          <t>39.8 / 35.7 / 33.0 falling, and note 7 states a target of about one third. The note beats the average.</t>
        </is>
      </c>
    </row>
    <row r="46" ht="62" customHeight="1">
      <c r="B46" s="7" t="inlineStr">
        <is>
          <t>Long-term debt interest rate</t>
        </is>
      </c>
      <c r="C46" s="29" t="inlineStr">
        <is>
          <t>5.4%</t>
        </is>
      </c>
      <c r="D46" s="30" t="inlineStr">
        <is>
          <t>Your computed rate lands near 5.8-6.0%, above the 5.4% in note 5. That is not an error: the interest expense line is TOTAL interest on long-term AND short-term debt, so dividing it by long-term debt alone overstates the rate. This happens with real filings constantly. Use the disclosed rate, not the backed-out one.</t>
        </is>
      </c>
    </row>
    <row r="47" ht="34" customHeight="1">
      <c r="B47" s="7" t="inlineStr">
        <is>
          <t>Short-term debt interest rate</t>
        </is>
      </c>
      <c r="C47" s="29" t="inlineStr">
        <is>
          <t>6.1%</t>
        </is>
      </c>
      <c r="D47" s="30" t="inlineStr">
        <is>
          <t>Note 5.</t>
        </is>
      </c>
    </row>
    <row r="48" ht="34" customHeight="1">
      <c r="B48" s="7" t="inlineStr">
        <is>
          <t>Revolver interest rate</t>
        </is>
      </c>
      <c r="C48" s="29" t="inlineStr">
        <is>
          <t>6.5%</t>
        </is>
      </c>
      <c r="D48" s="30" t="inlineStr">
        <is>
          <t>Note 5.</t>
        </is>
      </c>
    </row>
    <row r="49" ht="34" customHeight="1">
      <c r="B49" s="7" t="inlineStr">
        <is>
          <t>Revolver commitment fee</t>
        </is>
      </c>
      <c r="C49" s="29" t="inlineStr">
        <is>
          <t>0.35%</t>
        </is>
      </c>
      <c r="D49" s="30" t="inlineStr">
        <is>
          <t>Note 5, on the undrawn balance.</t>
        </is>
      </c>
    </row>
    <row r="50" ht="34" customHeight="1">
      <c r="B50" s="7" t="inlineStr">
        <is>
          <t>Minimum cash balance</t>
        </is>
      </c>
      <c r="C50" s="29" t="inlineStr">
        <is>
          <t>60.0</t>
        </is>
      </c>
      <c r="D50" s="30" t="inlineStr">
        <is>
          <t>Note 5. YOU HAVE MISSED THIS TWICE. The sweep has nothing to solve against without it.</t>
        </is>
      </c>
    </row>
    <row r="51" ht="34" customHeight="1">
      <c r="B51" s="7" t="inlineStr">
        <is>
          <t>Long-term debt amortisation</t>
        </is>
      </c>
      <c r="C51" s="29" t="inlineStr">
        <is>
          <t>20.0 per year</t>
        </is>
      </c>
      <c r="D51" s="30" t="inlineStr">
        <is>
          <t>Note 5 - the term loan amortises at $20.0m a year to FY2034.</t>
        </is>
      </c>
    </row>
    <row r="52" ht="34" customHeight="1">
      <c r="B52" s="7" t="inlineStr">
        <is>
          <t>Opening long-term debt</t>
        </is>
      </c>
      <c r="C52" s="29" t="inlineStr">
        <is>
          <t>200.0</t>
        </is>
      </c>
      <c r="D52" s="30" t="inlineStr">
        <is>
          <t>FY2024 closing balance.</t>
        </is>
      </c>
    </row>
    <row r="53" ht="34" customHeight="1">
      <c r="B53" s="7" t="inlineStr">
        <is>
          <t>Opening short-term debt</t>
        </is>
      </c>
      <c r="C53" s="29" t="inlineStr">
        <is>
          <t>30.0</t>
        </is>
      </c>
      <c r="D53" s="30" t="inlineStr">
        <is>
          <t>FY2024 closing balance.</t>
        </is>
      </c>
    </row>
    <row r="54" ht="34" customHeight="1">
      <c r="B54" s="7" t="inlineStr">
        <is>
          <t>Opening common equity</t>
        </is>
      </c>
      <c r="C54" s="29" t="inlineStr">
        <is>
          <t>172.0</t>
        </is>
      </c>
      <c r="D54" s="30" t="inlineStr">
        <is>
          <t>FY2024 closing balance.</t>
        </is>
      </c>
    </row>
    <row r="55" ht="34" customHeight="1">
      <c r="B55" s="7" t="inlineStr">
        <is>
          <t>Inflation rate</t>
        </is>
      </c>
      <c r="C55" s="29" t="inlineStr">
        <is>
          <t>4.0%</t>
        </is>
      </c>
      <c r="D55" s="30" t="inlineStr">
        <is>
          <t>Implied by SG&amp;A growth of about 4.5% and used for the fixed cost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2026-09-02T21:51:24Z</dcterms:created>
  <dcterms:modified xsi:type="dcterms:W3CDTF">2026-09-02T21:51:57Z</dcterms:modified>
</cp:coreProperties>
</file>