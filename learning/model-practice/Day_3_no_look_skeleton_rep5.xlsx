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5FFDF6DA66E37B/Documents/"/>
    </mc:Choice>
  </mc:AlternateContent>
  <xr:revisionPtr revIDLastSave="0" documentId="8_{AB1688A9-3E08-4BA0-84C9-A09FC45A5473}" xr6:coauthVersionLast="47" xr6:coauthVersionMax="47" xr10:uidLastSave="{00000000-0000-0000-0000-000000000000}"/>
  <bookViews>
    <workbookView xWindow="-96" yWindow="-96" windowWidth="23232" windowHeight="13872" xr2:uid="{F8860E9A-D5C8-4A58-8CD2-925CF7E9BB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8" i="1" l="1"/>
  <c r="B207" i="1"/>
  <c r="E204" i="1"/>
  <c r="F204" i="1" s="1"/>
  <c r="G204" i="1" s="1"/>
  <c r="H204" i="1" s="1"/>
  <c r="I204" i="1" s="1"/>
  <c r="J204" i="1" s="1"/>
  <c r="K204" i="1" s="1"/>
  <c r="L204" i="1" s="1"/>
  <c r="B191" i="1"/>
  <c r="B194" i="1"/>
  <c r="B193" i="1"/>
  <c r="B192" i="1"/>
  <c r="E178" i="1"/>
  <c r="E180" i="1" s="1"/>
  <c r="E179" i="1"/>
  <c r="E189" i="1"/>
  <c r="F189" i="1" s="1"/>
  <c r="G189" i="1" s="1"/>
  <c r="H189" i="1" s="1"/>
  <c r="I189" i="1" s="1"/>
  <c r="J189" i="1" s="1"/>
  <c r="K189" i="1" s="1"/>
  <c r="L189" i="1" s="1"/>
  <c r="B178" i="1"/>
  <c r="B175" i="1"/>
  <c r="B183" i="1" s="1"/>
  <c r="B176" i="1"/>
  <c r="E171" i="1"/>
  <c r="F171" i="1" s="1"/>
  <c r="G171" i="1" s="1"/>
  <c r="H171" i="1" s="1"/>
  <c r="I171" i="1" s="1"/>
  <c r="J171" i="1" s="1"/>
  <c r="K171" i="1" s="1"/>
  <c r="L171" i="1" s="1"/>
  <c r="B159" i="1"/>
  <c r="B165" i="1" s="1"/>
  <c r="B158" i="1"/>
  <c r="B161" i="1" s="1"/>
  <c r="B150" i="1"/>
  <c r="B148" i="1"/>
  <c r="B154" i="1" s="1"/>
  <c r="B140" i="1"/>
  <c r="E144" i="1"/>
  <c r="F144" i="1" s="1"/>
  <c r="G144" i="1" s="1"/>
  <c r="H144" i="1" s="1"/>
  <c r="I144" i="1" s="1"/>
  <c r="J144" i="1" s="1"/>
  <c r="K144" i="1" s="1"/>
  <c r="L144" i="1" s="1"/>
  <c r="B137" i="1"/>
  <c r="B138" i="1"/>
  <c r="B139" i="1"/>
  <c r="B136" i="1"/>
  <c r="B132" i="1"/>
  <c r="B133" i="1"/>
  <c r="B134" i="1"/>
  <c r="B131" i="1"/>
  <c r="B129" i="1"/>
  <c r="B128" i="1"/>
  <c r="B127" i="1"/>
  <c r="B126" i="1"/>
  <c r="E124" i="1"/>
  <c r="F124" i="1" s="1"/>
  <c r="G124" i="1" s="1"/>
  <c r="H124" i="1" s="1"/>
  <c r="I124" i="1" s="1"/>
  <c r="J124" i="1" s="1"/>
  <c r="K124" i="1" s="1"/>
  <c r="L124" i="1" s="1"/>
  <c r="E95" i="1"/>
  <c r="F95" i="1" s="1"/>
  <c r="G95" i="1" s="1"/>
  <c r="H95" i="1" s="1"/>
  <c r="I95" i="1" s="1"/>
  <c r="J95" i="1" s="1"/>
  <c r="K95" i="1" s="1"/>
  <c r="L95" i="1" s="1"/>
  <c r="E54" i="1"/>
  <c r="F54" i="1" s="1"/>
  <c r="G54" i="1" s="1"/>
  <c r="H54" i="1" s="1"/>
  <c r="I54" i="1" s="1"/>
  <c r="J54" i="1" s="1"/>
  <c r="K54" i="1" s="1"/>
  <c r="L54" i="1" s="1"/>
  <c r="E29" i="1"/>
  <c r="F29" i="1" s="1"/>
  <c r="G29" i="1" s="1"/>
  <c r="H29" i="1" s="1"/>
  <c r="I29" i="1" s="1"/>
  <c r="J29" i="1" s="1"/>
  <c r="K29" i="1" s="1"/>
  <c r="L29" i="1" s="1"/>
  <c r="E4" i="1"/>
  <c r="F4" i="1" s="1"/>
  <c r="G4" i="1" s="1"/>
  <c r="H4" i="1" s="1"/>
  <c r="I4" i="1" s="1"/>
  <c r="J4" i="1" s="1"/>
  <c r="K4" i="1" s="1"/>
  <c r="L4" i="1" s="1"/>
  <c r="E181" i="1" l="1"/>
</calcChain>
</file>

<file path=xl/sharedStrings.xml><?xml version="1.0" encoding="utf-8"?>
<sst xmlns="http://schemas.openxmlformats.org/spreadsheetml/2006/main" count="121" uniqueCount="108">
  <si>
    <t xml:space="preserve">Drivers and Assumptions </t>
  </si>
  <si>
    <t>revenue Growth %</t>
  </si>
  <si>
    <t xml:space="preserve">Gorss Margin </t>
  </si>
  <si>
    <t>Sg&amp;A (flat amount ajusted to inflation)</t>
  </si>
  <si>
    <t>R&amp;A (A % of reveneue)</t>
  </si>
  <si>
    <t>Deprecitiation (% of PP&amp;E)</t>
  </si>
  <si>
    <t>Capital Expenditure (As a % of revenue)</t>
  </si>
  <si>
    <t xml:space="preserve">Accounts recieveable Days </t>
  </si>
  <si>
    <t xml:space="preserve">Inventory Days </t>
  </si>
  <si>
    <t xml:space="preserve">Accounts payable Days </t>
  </si>
  <si>
    <t xml:space="preserve">Beginning Equity </t>
  </si>
  <si>
    <t xml:space="preserve">Long Term Debt Interest Rate </t>
  </si>
  <si>
    <t xml:space="preserve">Effective Tax Rate </t>
  </si>
  <si>
    <t xml:space="preserve">Beginning Long term Debt balance </t>
  </si>
  <si>
    <t xml:space="preserve">Short Term Debt Interest Rate </t>
  </si>
  <si>
    <t xml:space="preserve">Beginning Short Term Debt Balance </t>
  </si>
  <si>
    <t>Income Tax Payable Days</t>
  </si>
  <si>
    <t xml:space="preserve">Revolver balance </t>
  </si>
  <si>
    <t xml:space="preserve">Revolver Interest Rate </t>
  </si>
  <si>
    <t xml:space="preserve">Minimum Cash balance </t>
  </si>
  <si>
    <t>All amount are in millions (USD), unless stated otherwise</t>
  </si>
  <si>
    <t xml:space="preserve">Income Statement </t>
  </si>
  <si>
    <t xml:space="preserve">Revenue </t>
  </si>
  <si>
    <t>COGS</t>
  </si>
  <si>
    <t>Gross Profit</t>
  </si>
  <si>
    <t>SG&amp;A</t>
  </si>
  <si>
    <t>R&amp;D</t>
  </si>
  <si>
    <t>Depreciation</t>
  </si>
  <si>
    <t>EBIT</t>
  </si>
  <si>
    <t xml:space="preserve">Interest Expense </t>
  </si>
  <si>
    <t xml:space="preserve">Interest Income </t>
  </si>
  <si>
    <t xml:space="preserve">EBT </t>
  </si>
  <si>
    <t>Taxes</t>
  </si>
  <si>
    <t xml:space="preserve">Net income </t>
  </si>
  <si>
    <t xml:space="preserve">Dividends </t>
  </si>
  <si>
    <t>Retained earnings</t>
  </si>
  <si>
    <t>Balance Sheet</t>
  </si>
  <si>
    <t xml:space="preserve">Current Assets </t>
  </si>
  <si>
    <t>Cash and Cash Equivilants</t>
  </si>
  <si>
    <t xml:space="preserve">Account Recieveable </t>
  </si>
  <si>
    <t xml:space="preserve">Intentory </t>
  </si>
  <si>
    <t xml:space="preserve">Total Current Assets </t>
  </si>
  <si>
    <t xml:space="preserve">Non-Current Assets </t>
  </si>
  <si>
    <t xml:space="preserve">PP&amp;E </t>
  </si>
  <si>
    <t xml:space="preserve">Intangibles </t>
  </si>
  <si>
    <t>Goodwill</t>
  </si>
  <si>
    <t xml:space="preserve">Total Non-Current Assets </t>
  </si>
  <si>
    <t>Current Liabilities</t>
  </si>
  <si>
    <t xml:space="preserve">Accounts Payable </t>
  </si>
  <si>
    <t>Short-Term Debt</t>
  </si>
  <si>
    <t>Revolver</t>
  </si>
  <si>
    <t>Total Current Liabilites</t>
  </si>
  <si>
    <t>Non-Current Liabilities</t>
  </si>
  <si>
    <t xml:space="preserve">Long-Term Debt </t>
  </si>
  <si>
    <t xml:space="preserve">Income Tax Payable </t>
  </si>
  <si>
    <t>Total Non-Current Liabilities</t>
  </si>
  <si>
    <t>Total Liabilities</t>
  </si>
  <si>
    <t xml:space="preserve">Shareholder Equity </t>
  </si>
  <si>
    <t xml:space="preserve">Common Equity </t>
  </si>
  <si>
    <t xml:space="preserve">Retained Earnings </t>
  </si>
  <si>
    <t xml:space="preserve">Total Shareholder Equity </t>
  </si>
  <si>
    <t xml:space="preserve">Total Liabilities &amp; Shareholder Equity </t>
  </si>
  <si>
    <t xml:space="preserve">Total Assets </t>
  </si>
  <si>
    <t xml:space="preserve">Balance Check </t>
  </si>
  <si>
    <t>Cashflow Statement</t>
  </si>
  <si>
    <t xml:space="preserve">Net Income </t>
  </si>
  <si>
    <t xml:space="preserve">Deprectiation </t>
  </si>
  <si>
    <t>Cashflows From Operating Activites</t>
  </si>
  <si>
    <t xml:space="preserve">Changes in Accounts Recieveable </t>
  </si>
  <si>
    <t xml:space="preserve">Changes in Inventory </t>
  </si>
  <si>
    <t xml:space="preserve">Changes in Accounts Payable </t>
  </si>
  <si>
    <t xml:space="preserve">Changes in Income Tax Payable </t>
  </si>
  <si>
    <t>Net Changes in Cash from Operating Activites</t>
  </si>
  <si>
    <t>Cashflows From investing Activites</t>
  </si>
  <si>
    <t xml:space="preserve">Capital expentitures </t>
  </si>
  <si>
    <t>Net Cash from Investing Activities</t>
  </si>
  <si>
    <t>Cashflow From Financing Activites</t>
  </si>
  <si>
    <t xml:space="preserve">Offering (Repayment) of Debt </t>
  </si>
  <si>
    <t xml:space="preserve">Offering (Buyback) of Equity </t>
  </si>
  <si>
    <t>Net Changes in Cash ffrom Financing Activites</t>
  </si>
  <si>
    <t xml:space="preserve">Net Change In Cash </t>
  </si>
  <si>
    <t xml:space="preserve">Beginning Balance </t>
  </si>
  <si>
    <t xml:space="preserve">Endning Balance </t>
  </si>
  <si>
    <t>Working Capitial Schedule</t>
  </si>
  <si>
    <t xml:space="preserve">Starting Long Term Debt Balance </t>
  </si>
  <si>
    <t>Increasee/ (Repayment)</t>
  </si>
  <si>
    <t>Ending Long Term Debt Balance</t>
  </si>
  <si>
    <t xml:space="preserve">Long Term Debt Interest expense </t>
  </si>
  <si>
    <t>Increase/ (Repayment)</t>
  </si>
  <si>
    <t xml:space="preserve">Ending Short Term Debt Balance </t>
  </si>
  <si>
    <t xml:space="preserve">Short Term Debt Interest Expense </t>
  </si>
  <si>
    <t xml:space="preserve">Debt Schedule </t>
  </si>
  <si>
    <t xml:space="preserve">Revolver Schedule </t>
  </si>
  <si>
    <t xml:space="preserve">Revolver Starting Balance </t>
  </si>
  <si>
    <t xml:space="preserve">Amount Drawn </t>
  </si>
  <si>
    <t>(Repayment)</t>
  </si>
  <si>
    <t xml:space="preserve">Endning Revolver Balance </t>
  </si>
  <si>
    <t xml:space="preserve">Asset Schedule </t>
  </si>
  <si>
    <t>Cash</t>
  </si>
  <si>
    <t xml:space="preserve">Revolver Interest Expense </t>
  </si>
  <si>
    <t xml:space="preserve">Beginning PP&amp;E </t>
  </si>
  <si>
    <t>(Deprecition)</t>
  </si>
  <si>
    <t xml:space="preserve">Capital Expenditure </t>
  </si>
  <si>
    <t>Ending PP&amp;E</t>
  </si>
  <si>
    <t>Equity Schedule</t>
  </si>
  <si>
    <t xml:space="preserve">Ending Equity </t>
  </si>
  <si>
    <t>Beginning Retained Earnings</t>
  </si>
  <si>
    <t xml:space="preserve">Ending Retained Earnings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</si>
</sst>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&quot;A&quot;"/>
    <numFmt numFmtId="167" formatCode="yyyy&quot;F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dashed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2" borderId="0" xfId="0" applyFont="1" applyFill="1"/>
    <xf numFmtId="167" fontId="0" fillId="0" borderId="0" xfId="0" applyNumberFormat="1"/>
    <xf numFmtId="0" fontId="0" fillId="0" borderId="0" xfId="0" applyFill="1"/>
    <xf numFmtId="0" fontId="0" fillId="0" borderId="3" xfId="0" applyBorder="1"/>
    <xf numFmtId="166" fontId="0" fillId="2" borderId="1" xfId="0" applyNumberFormat="1" applyFill="1" applyBorder="1"/>
    <xf numFmtId="167" fontId="0" fillId="2" borderId="2" xfId="0" applyNumberFormat="1" applyFill="1" applyBorder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66" fontId="0" fillId="0" borderId="0" xfId="0" applyNumberFormat="1" applyFill="1" applyBorder="1"/>
    <xf numFmtId="167" fontId="0" fillId="0" borderId="0" xfId="0" applyNumberFormat="1" applyFill="1" applyBorder="1"/>
    <xf numFmtId="167" fontId="0" fillId="2" borderId="4" xfId="0" applyNumberFormat="1" applyFill="1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1" fillId="0" borderId="0" xfId="0" applyFont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0" borderId="0" xfId="0" applyAlignment="1">
      <alignment horizontal="left" indent="1"/>
    </xf>
    <xf numFmtId="0" fontId="0" fillId="0" borderId="0" xfId="0" applyFont="1" applyAlignment="1">
      <alignment horizontal="left" inden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F30F3-5D1B-4C10-B057-37783EFBA565}">
  <dimension ref="B2:N215"/>
  <sheetViews>
    <sheetView tabSelected="1" topLeftCell="A202" workbookViewId="0">
      <selection activeCell="B231" sqref="B231"/>
    </sheetView>
  </sheetViews>
  <sheetFormatPr defaultRowHeight="14.4" x14ac:dyDescent="0.3"/>
  <cols>
    <col min="5" max="5" width="9.33203125" bestFit="1" customWidth="1"/>
  </cols>
  <sheetData>
    <row r="2" spans="2:14" x14ac:dyDescent="0.3"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4"/>
      <c r="N2" s="4"/>
    </row>
    <row r="3" spans="2:14" x14ac:dyDescent="0.3">
      <c r="B3" s="8" t="s">
        <v>20</v>
      </c>
      <c r="C3" s="8"/>
      <c r="D3" s="8"/>
    </row>
    <row r="4" spans="2:14" ht="15" thickBot="1" x14ac:dyDescent="0.35">
      <c r="B4" s="8"/>
      <c r="C4" s="8"/>
      <c r="D4" s="8"/>
      <c r="E4" s="6">
        <f>DATE(2022,6,30)</f>
        <v>44742</v>
      </c>
      <c r="F4" s="6">
        <f>EDATE(E4,12)</f>
        <v>45107</v>
      </c>
      <c r="G4" s="6">
        <f t="shared" ref="G4:L4" si="0">EDATE(F4,12)</f>
        <v>45473</v>
      </c>
      <c r="H4" s="6">
        <f t="shared" si="0"/>
        <v>45838</v>
      </c>
      <c r="I4" s="12">
        <f t="shared" si="0"/>
        <v>46203</v>
      </c>
      <c r="J4" s="7">
        <f t="shared" si="0"/>
        <v>46568</v>
      </c>
      <c r="K4" s="7">
        <f t="shared" si="0"/>
        <v>46934</v>
      </c>
      <c r="L4" s="7">
        <f t="shared" si="0"/>
        <v>47299</v>
      </c>
      <c r="M4" s="3"/>
      <c r="N4" s="3"/>
    </row>
    <row r="5" spans="2:14" x14ac:dyDescent="0.3">
      <c r="B5" s="9"/>
      <c r="C5" s="9"/>
      <c r="D5" s="9"/>
      <c r="E5" s="10"/>
      <c r="F5" s="10"/>
      <c r="G5" s="10"/>
      <c r="H5" s="10"/>
      <c r="I5" s="11"/>
      <c r="J5" s="11"/>
      <c r="K5" s="11"/>
      <c r="L5" s="11"/>
      <c r="M5" s="3"/>
      <c r="N5" s="3"/>
    </row>
    <row r="6" spans="2:14" x14ac:dyDescent="0.3">
      <c r="B6" t="s">
        <v>1</v>
      </c>
      <c r="I6" s="5"/>
    </row>
    <row r="7" spans="2:14" x14ac:dyDescent="0.3">
      <c r="B7" t="s">
        <v>2</v>
      </c>
      <c r="I7" s="5"/>
    </row>
    <row r="8" spans="2:14" x14ac:dyDescent="0.3">
      <c r="B8" t="s">
        <v>3</v>
      </c>
      <c r="I8" s="5"/>
    </row>
    <row r="9" spans="2:14" x14ac:dyDescent="0.3">
      <c r="B9" t="s">
        <v>4</v>
      </c>
      <c r="I9" s="5"/>
    </row>
    <row r="10" spans="2:14" x14ac:dyDescent="0.3">
      <c r="B10" t="s">
        <v>5</v>
      </c>
      <c r="I10" s="5"/>
    </row>
    <row r="11" spans="2:14" x14ac:dyDescent="0.3">
      <c r="B11" t="s">
        <v>12</v>
      </c>
      <c r="I11" s="5"/>
    </row>
    <row r="12" spans="2:14" x14ac:dyDescent="0.3">
      <c r="B12" t="s">
        <v>6</v>
      </c>
      <c r="I12" s="5"/>
    </row>
    <row r="13" spans="2:14" x14ac:dyDescent="0.3">
      <c r="B13" t="s">
        <v>7</v>
      </c>
      <c r="I13" s="5"/>
    </row>
    <row r="14" spans="2:14" x14ac:dyDescent="0.3">
      <c r="B14" t="s">
        <v>8</v>
      </c>
      <c r="I14" s="5"/>
    </row>
    <row r="15" spans="2:14" x14ac:dyDescent="0.3">
      <c r="B15" t="s">
        <v>9</v>
      </c>
      <c r="I15" s="5"/>
    </row>
    <row r="16" spans="2:14" x14ac:dyDescent="0.3">
      <c r="B16" t="s">
        <v>16</v>
      </c>
      <c r="I16" s="5"/>
    </row>
    <row r="17" spans="2:12" x14ac:dyDescent="0.3">
      <c r="B17" t="s">
        <v>10</v>
      </c>
      <c r="I17" s="5"/>
    </row>
    <row r="18" spans="2:12" x14ac:dyDescent="0.3">
      <c r="B18" t="s">
        <v>13</v>
      </c>
      <c r="I18" s="5"/>
    </row>
    <row r="19" spans="2:12" x14ac:dyDescent="0.3">
      <c r="B19" t="s">
        <v>11</v>
      </c>
      <c r="I19" s="5"/>
    </row>
    <row r="20" spans="2:12" x14ac:dyDescent="0.3">
      <c r="B20" t="s">
        <v>15</v>
      </c>
      <c r="I20" s="5"/>
    </row>
    <row r="21" spans="2:12" x14ac:dyDescent="0.3">
      <c r="B21" t="s">
        <v>14</v>
      </c>
      <c r="I21" s="5"/>
    </row>
    <row r="22" spans="2:12" x14ac:dyDescent="0.3">
      <c r="B22" t="s">
        <v>17</v>
      </c>
      <c r="I22" s="5"/>
    </row>
    <row r="23" spans="2:12" x14ac:dyDescent="0.3">
      <c r="B23" t="s">
        <v>18</v>
      </c>
      <c r="I23" s="5"/>
    </row>
    <row r="24" spans="2:12" x14ac:dyDescent="0.3">
      <c r="B24" t="s">
        <v>19</v>
      </c>
      <c r="I24" s="5"/>
    </row>
    <row r="27" spans="2:12" x14ac:dyDescent="0.3">
      <c r="B27" s="2" t="s">
        <v>21</v>
      </c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2:12" x14ac:dyDescent="0.3">
      <c r="B28" s="8" t="s">
        <v>20</v>
      </c>
      <c r="C28" s="8"/>
      <c r="D28" s="8"/>
    </row>
    <row r="29" spans="2:12" ht="15" thickBot="1" x14ac:dyDescent="0.35">
      <c r="B29" s="8"/>
      <c r="C29" s="8"/>
      <c r="D29" s="8"/>
      <c r="E29" s="6">
        <f>DATE(2022,6,30)</f>
        <v>44742</v>
      </c>
      <c r="F29" s="6">
        <f>EDATE(E29,12)</f>
        <v>45107</v>
      </c>
      <c r="G29" s="6">
        <f t="shared" ref="G29:L29" si="1">EDATE(F29,12)</f>
        <v>45473</v>
      </c>
      <c r="H29" s="6">
        <f t="shared" si="1"/>
        <v>45838</v>
      </c>
      <c r="I29" s="12">
        <f t="shared" si="1"/>
        <v>46203</v>
      </c>
      <c r="J29" s="7">
        <f t="shared" si="1"/>
        <v>46568</v>
      </c>
      <c r="K29" s="7">
        <f t="shared" si="1"/>
        <v>46934</v>
      </c>
      <c r="L29" s="7">
        <f t="shared" si="1"/>
        <v>47299</v>
      </c>
    </row>
    <row r="31" spans="2:12" x14ac:dyDescent="0.3">
      <c r="B31" s="20" t="s">
        <v>22</v>
      </c>
    </row>
    <row r="32" spans="2:12" ht="15" thickBot="1" x14ac:dyDescent="0.35">
      <c r="B32" s="20" t="s">
        <v>23</v>
      </c>
    </row>
    <row r="33" spans="2:12" x14ac:dyDescent="0.3">
      <c r="B33" s="16" t="s">
        <v>24</v>
      </c>
      <c r="E33" s="13"/>
      <c r="F33" s="13"/>
      <c r="G33" s="13"/>
      <c r="H33" s="13"/>
      <c r="I33" s="13"/>
      <c r="J33" s="13"/>
      <c r="K33" s="13"/>
      <c r="L33" s="13"/>
    </row>
    <row r="35" spans="2:12" x14ac:dyDescent="0.3">
      <c r="B35" s="20" t="s">
        <v>25</v>
      </c>
    </row>
    <row r="36" spans="2:12" x14ac:dyDescent="0.3">
      <c r="B36" s="20" t="s">
        <v>26</v>
      </c>
    </row>
    <row r="37" spans="2:12" ht="15" thickBot="1" x14ac:dyDescent="0.35">
      <c r="B37" s="20" t="s">
        <v>27</v>
      </c>
    </row>
    <row r="38" spans="2:12" x14ac:dyDescent="0.3">
      <c r="B38" s="16" t="s">
        <v>28</v>
      </c>
      <c r="E38" s="13"/>
      <c r="F38" s="13"/>
      <c r="G38" s="13"/>
      <c r="H38" s="13"/>
      <c r="I38" s="13"/>
      <c r="J38" s="13"/>
      <c r="K38" s="13"/>
      <c r="L38" s="13"/>
    </row>
    <row r="40" spans="2:12" x14ac:dyDescent="0.3">
      <c r="B40" s="20" t="s">
        <v>29</v>
      </c>
    </row>
    <row r="41" spans="2:12" ht="15" thickBot="1" x14ac:dyDescent="0.35">
      <c r="B41" s="20" t="s">
        <v>30</v>
      </c>
    </row>
    <row r="42" spans="2:12" x14ac:dyDescent="0.3">
      <c r="B42" s="16" t="s">
        <v>31</v>
      </c>
      <c r="E42" s="13"/>
      <c r="F42" s="13"/>
      <c r="G42" s="13"/>
      <c r="H42" s="13"/>
      <c r="I42" s="13"/>
      <c r="J42" s="13"/>
      <c r="K42" s="13"/>
      <c r="L42" s="13"/>
    </row>
    <row r="44" spans="2:12" ht="15" thickBot="1" x14ac:dyDescent="0.35">
      <c r="B44" s="20" t="s">
        <v>32</v>
      </c>
    </row>
    <row r="45" spans="2:12" ht="15" thickBot="1" x14ac:dyDescent="0.35">
      <c r="B45" s="16" t="s">
        <v>33</v>
      </c>
      <c r="E45" s="14"/>
      <c r="F45" s="14"/>
      <c r="G45" s="14"/>
      <c r="H45" s="14"/>
      <c r="I45" s="14"/>
      <c r="J45" s="14"/>
      <c r="K45" s="14"/>
      <c r="L45" s="14"/>
    </row>
    <row r="46" spans="2:12" ht="15" thickTop="1" x14ac:dyDescent="0.3"/>
    <row r="47" spans="2:12" x14ac:dyDescent="0.3">
      <c r="B47" t="s">
        <v>34</v>
      </c>
    </row>
    <row r="49" spans="2:12" x14ac:dyDescent="0.3">
      <c r="B49" s="16" t="s">
        <v>35</v>
      </c>
    </row>
    <row r="52" spans="2:12" x14ac:dyDescent="0.3">
      <c r="B52" s="2" t="s">
        <v>36</v>
      </c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2:12" x14ac:dyDescent="0.3">
      <c r="B53" s="8" t="s">
        <v>20</v>
      </c>
      <c r="C53" s="8"/>
      <c r="D53" s="8"/>
    </row>
    <row r="54" spans="2:12" ht="15" thickBot="1" x14ac:dyDescent="0.35">
      <c r="B54" s="8"/>
      <c r="C54" s="8"/>
      <c r="D54" s="8"/>
      <c r="E54" s="6">
        <f>DATE(2022,6,30)</f>
        <v>44742</v>
      </c>
      <c r="F54" s="6">
        <f>EDATE(E54,12)</f>
        <v>45107</v>
      </c>
      <c r="G54" s="6">
        <f t="shared" ref="G54:L54" si="2">EDATE(F54,12)</f>
        <v>45473</v>
      </c>
      <c r="H54" s="6">
        <f t="shared" si="2"/>
        <v>45838</v>
      </c>
      <c r="I54" s="12">
        <f t="shared" si="2"/>
        <v>46203</v>
      </c>
      <c r="J54" s="7">
        <f t="shared" si="2"/>
        <v>46568</v>
      </c>
      <c r="K54" s="7">
        <f t="shared" si="2"/>
        <v>46934</v>
      </c>
      <c r="L54" s="7">
        <f t="shared" si="2"/>
        <v>47299</v>
      </c>
    </row>
    <row r="56" spans="2:12" x14ac:dyDescent="0.3">
      <c r="B56" s="20" t="s">
        <v>37</v>
      </c>
    </row>
    <row r="57" spans="2:12" x14ac:dyDescent="0.3">
      <c r="B57" s="20" t="s">
        <v>38</v>
      </c>
    </row>
    <row r="58" spans="2:12" x14ac:dyDescent="0.3">
      <c r="B58" s="20" t="s">
        <v>39</v>
      </c>
    </row>
    <row r="59" spans="2:12" ht="15" thickBot="1" x14ac:dyDescent="0.35">
      <c r="B59" s="20" t="s">
        <v>40</v>
      </c>
    </row>
    <row r="60" spans="2:12" x14ac:dyDescent="0.3">
      <c r="B60" s="16" t="s">
        <v>41</v>
      </c>
      <c r="E60" s="13"/>
      <c r="F60" s="13"/>
      <c r="G60" s="13"/>
      <c r="H60" s="13"/>
      <c r="I60" s="13"/>
      <c r="J60" s="13"/>
      <c r="K60" s="13"/>
      <c r="L60" s="13"/>
    </row>
    <row r="62" spans="2:12" x14ac:dyDescent="0.3">
      <c r="B62" s="20" t="s">
        <v>42</v>
      </c>
    </row>
    <row r="63" spans="2:12" x14ac:dyDescent="0.3">
      <c r="B63" s="20" t="s">
        <v>43</v>
      </c>
    </row>
    <row r="64" spans="2:12" x14ac:dyDescent="0.3">
      <c r="B64" s="20" t="s">
        <v>44</v>
      </c>
    </row>
    <row r="65" spans="2:12" ht="15" thickBot="1" x14ac:dyDescent="0.35">
      <c r="B65" s="20" t="s">
        <v>45</v>
      </c>
    </row>
    <row r="66" spans="2:12" x14ac:dyDescent="0.3">
      <c r="B66" s="16" t="s">
        <v>46</v>
      </c>
      <c r="E66" s="13"/>
      <c r="F66" s="13"/>
      <c r="G66" s="13"/>
      <c r="H66" s="13"/>
      <c r="I66" s="13"/>
      <c r="J66" s="13"/>
      <c r="K66" s="13"/>
      <c r="L66" s="13"/>
    </row>
    <row r="67" spans="2:12" ht="15" thickBot="1" x14ac:dyDescent="0.35">
      <c r="E67" s="15"/>
      <c r="F67" s="15"/>
      <c r="G67" s="15"/>
      <c r="H67" s="15"/>
      <c r="I67" s="15"/>
      <c r="J67" s="15"/>
      <c r="K67" s="15"/>
      <c r="L67" s="15"/>
    </row>
    <row r="68" spans="2:12" x14ac:dyDescent="0.3">
      <c r="B68" s="16" t="s">
        <v>62</v>
      </c>
      <c r="E68" s="13"/>
      <c r="F68" s="13"/>
      <c r="G68" s="13"/>
      <c r="H68" s="13"/>
      <c r="I68" s="13"/>
      <c r="J68" s="13"/>
      <c r="K68" s="13"/>
      <c r="L68" s="13"/>
    </row>
    <row r="70" spans="2:12" x14ac:dyDescent="0.3">
      <c r="B70" s="20" t="s">
        <v>47</v>
      </c>
    </row>
    <row r="71" spans="2:12" x14ac:dyDescent="0.3">
      <c r="B71" s="20" t="s">
        <v>48</v>
      </c>
    </row>
    <row r="72" spans="2:12" x14ac:dyDescent="0.3">
      <c r="B72" s="20" t="s">
        <v>49</v>
      </c>
    </row>
    <row r="73" spans="2:12" x14ac:dyDescent="0.3">
      <c r="B73" s="20" t="s">
        <v>54</v>
      </c>
    </row>
    <row r="74" spans="2:12" ht="15" thickBot="1" x14ac:dyDescent="0.35">
      <c r="B74" s="20" t="s">
        <v>50</v>
      </c>
    </row>
    <row r="75" spans="2:12" x14ac:dyDescent="0.3">
      <c r="B75" s="16" t="s">
        <v>51</v>
      </c>
      <c r="E75" s="13"/>
      <c r="F75" s="13"/>
      <c r="G75" s="13"/>
      <c r="H75" s="13"/>
      <c r="I75" s="13"/>
      <c r="J75" s="13"/>
      <c r="K75" s="13"/>
      <c r="L75" s="13"/>
    </row>
    <row r="77" spans="2:12" x14ac:dyDescent="0.3">
      <c r="B77" s="20" t="s">
        <v>52</v>
      </c>
    </row>
    <row r="78" spans="2:12" ht="15" thickBot="1" x14ac:dyDescent="0.35">
      <c r="B78" s="20" t="s">
        <v>53</v>
      </c>
    </row>
    <row r="79" spans="2:12" x14ac:dyDescent="0.3">
      <c r="B79" s="16" t="s">
        <v>55</v>
      </c>
      <c r="E79" s="13"/>
      <c r="F79" s="13"/>
      <c r="G79" s="13"/>
      <c r="H79" s="13"/>
      <c r="I79" s="13"/>
      <c r="J79" s="13"/>
      <c r="K79" s="13"/>
      <c r="L79" s="13"/>
    </row>
    <row r="80" spans="2:12" ht="15" thickBot="1" x14ac:dyDescent="0.35"/>
    <row r="81" spans="2:12" x14ac:dyDescent="0.3">
      <c r="B81" s="16" t="s">
        <v>56</v>
      </c>
      <c r="E81" s="13"/>
      <c r="F81" s="13"/>
      <c r="G81" s="13"/>
      <c r="H81" s="13"/>
      <c r="I81" s="13"/>
      <c r="J81" s="13"/>
      <c r="K81" s="13"/>
      <c r="L81" s="13"/>
    </row>
    <row r="83" spans="2:12" x14ac:dyDescent="0.3">
      <c r="B83" s="20" t="s">
        <v>57</v>
      </c>
    </row>
    <row r="84" spans="2:12" x14ac:dyDescent="0.3">
      <c r="B84" s="20" t="s">
        <v>58</v>
      </c>
    </row>
    <row r="85" spans="2:12" ht="15" thickBot="1" x14ac:dyDescent="0.35">
      <c r="B85" s="20" t="s">
        <v>59</v>
      </c>
    </row>
    <row r="86" spans="2:12" x14ac:dyDescent="0.3">
      <c r="B86" s="16" t="s">
        <v>60</v>
      </c>
      <c r="E86" s="13"/>
      <c r="F86" s="13"/>
      <c r="G86" s="13"/>
      <c r="H86" s="13"/>
      <c r="I86" s="13"/>
      <c r="J86" s="13"/>
      <c r="K86" s="13"/>
      <c r="L86" s="13"/>
    </row>
    <row r="87" spans="2:12" ht="15" thickBot="1" x14ac:dyDescent="0.35"/>
    <row r="88" spans="2:12" x14ac:dyDescent="0.3">
      <c r="B88" s="16" t="s">
        <v>61</v>
      </c>
      <c r="E88" s="13"/>
      <c r="F88" s="13"/>
      <c r="G88" s="13"/>
      <c r="H88" s="13"/>
      <c r="I88" s="13"/>
      <c r="J88" s="13"/>
      <c r="K88" s="13"/>
      <c r="L88" s="13"/>
    </row>
    <row r="89" spans="2:12" ht="15" thickBot="1" x14ac:dyDescent="0.35"/>
    <row r="90" spans="2:12" ht="15" thickBot="1" x14ac:dyDescent="0.35">
      <c r="B90" s="16" t="s">
        <v>63</v>
      </c>
      <c r="E90" s="17"/>
      <c r="F90" s="18"/>
      <c r="G90" s="18"/>
      <c r="H90" s="18"/>
      <c r="I90" s="18"/>
      <c r="J90" s="18"/>
      <c r="K90" s="18"/>
      <c r="L90" s="19"/>
    </row>
    <row r="93" spans="2:12" x14ac:dyDescent="0.3">
      <c r="B93" s="2" t="s">
        <v>64</v>
      </c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2:12" x14ac:dyDescent="0.3">
      <c r="B94" s="8" t="s">
        <v>20</v>
      </c>
      <c r="C94" s="8"/>
      <c r="D94" s="8"/>
    </row>
    <row r="95" spans="2:12" ht="15" thickBot="1" x14ac:dyDescent="0.35">
      <c r="B95" s="8"/>
      <c r="C95" s="8"/>
      <c r="D95" s="8"/>
      <c r="E95" s="6">
        <f>DATE(2022,6,30)</f>
        <v>44742</v>
      </c>
      <c r="F95" s="6">
        <f>EDATE(E95,12)</f>
        <v>45107</v>
      </c>
      <c r="G95" s="6">
        <f t="shared" ref="G95:L95" si="3">EDATE(F95,12)</f>
        <v>45473</v>
      </c>
      <c r="H95" s="6">
        <f t="shared" si="3"/>
        <v>45838</v>
      </c>
      <c r="I95" s="12">
        <f t="shared" si="3"/>
        <v>46203</v>
      </c>
      <c r="J95" s="7">
        <f t="shared" si="3"/>
        <v>46568</v>
      </c>
      <c r="K95" s="7">
        <f t="shared" si="3"/>
        <v>46934</v>
      </c>
      <c r="L95" s="7">
        <f t="shared" si="3"/>
        <v>47299</v>
      </c>
    </row>
    <row r="97" spans="2:12" x14ac:dyDescent="0.3">
      <c r="B97" t="s">
        <v>65</v>
      </c>
    </row>
    <row r="98" spans="2:12" x14ac:dyDescent="0.3">
      <c r="B98" t="s">
        <v>66</v>
      </c>
    </row>
    <row r="100" spans="2:12" x14ac:dyDescent="0.3">
      <c r="B100" s="20" t="s">
        <v>67</v>
      </c>
    </row>
    <row r="101" spans="2:12" x14ac:dyDescent="0.3">
      <c r="B101" s="20" t="s">
        <v>68</v>
      </c>
    </row>
    <row r="102" spans="2:12" x14ac:dyDescent="0.3">
      <c r="B102" s="20" t="s">
        <v>69</v>
      </c>
    </row>
    <row r="103" spans="2:12" x14ac:dyDescent="0.3">
      <c r="B103" s="20" t="s">
        <v>70</v>
      </c>
    </row>
    <row r="104" spans="2:12" ht="15" thickBot="1" x14ac:dyDescent="0.35">
      <c r="B104" s="20" t="s">
        <v>71</v>
      </c>
    </row>
    <row r="105" spans="2:12" x14ac:dyDescent="0.3">
      <c r="B105" s="16" t="s">
        <v>72</v>
      </c>
      <c r="E105" s="13"/>
      <c r="F105" s="13"/>
      <c r="G105" s="13"/>
      <c r="H105" s="13"/>
      <c r="I105" s="13"/>
      <c r="J105" s="13"/>
      <c r="K105" s="13"/>
      <c r="L105" s="13"/>
    </row>
    <row r="107" spans="2:12" x14ac:dyDescent="0.3">
      <c r="B107" s="20" t="s">
        <v>73</v>
      </c>
    </row>
    <row r="108" spans="2:12" ht="15" thickBot="1" x14ac:dyDescent="0.35">
      <c r="B108" s="20" t="s">
        <v>74</v>
      </c>
    </row>
    <row r="109" spans="2:12" x14ac:dyDescent="0.3">
      <c r="B109" s="16" t="s">
        <v>75</v>
      </c>
      <c r="E109" s="13"/>
      <c r="F109" s="13"/>
      <c r="G109" s="13"/>
      <c r="H109" s="13"/>
      <c r="I109" s="13"/>
      <c r="J109" s="13"/>
      <c r="K109" s="13"/>
      <c r="L109" s="13"/>
    </row>
    <row r="111" spans="2:12" x14ac:dyDescent="0.3">
      <c r="B111" s="20" t="s">
        <v>76</v>
      </c>
    </row>
    <row r="112" spans="2:12" x14ac:dyDescent="0.3">
      <c r="B112" s="20" t="s">
        <v>77</v>
      </c>
    </row>
    <row r="113" spans="2:12" x14ac:dyDescent="0.3">
      <c r="B113" s="20" t="s">
        <v>78</v>
      </c>
    </row>
    <row r="114" spans="2:12" ht="15" thickBot="1" x14ac:dyDescent="0.35">
      <c r="B114" s="20" t="s">
        <v>34</v>
      </c>
    </row>
    <row r="115" spans="2:12" x14ac:dyDescent="0.3">
      <c r="B115" s="16" t="s">
        <v>79</v>
      </c>
      <c r="E115" s="13"/>
      <c r="F115" s="13"/>
      <c r="G115" s="13"/>
      <c r="H115" s="13"/>
      <c r="I115" s="13"/>
      <c r="J115" s="13"/>
      <c r="K115" s="13"/>
      <c r="L115" s="13"/>
    </row>
    <row r="117" spans="2:12" x14ac:dyDescent="0.3">
      <c r="B117" s="16" t="s">
        <v>80</v>
      </c>
    </row>
    <row r="118" spans="2:12" ht="15" thickBot="1" x14ac:dyDescent="0.35">
      <c r="B118" s="16" t="s">
        <v>81</v>
      </c>
    </row>
    <row r="119" spans="2:12" x14ac:dyDescent="0.3">
      <c r="B119" s="16" t="s">
        <v>82</v>
      </c>
      <c r="E119" s="13"/>
      <c r="F119" s="13"/>
      <c r="G119" s="13"/>
      <c r="H119" s="13"/>
      <c r="I119" s="13"/>
      <c r="J119" s="13"/>
      <c r="K119" s="13"/>
      <c r="L119" s="13"/>
    </row>
    <row r="122" spans="2:12" x14ac:dyDescent="0.3">
      <c r="B122" s="2" t="s">
        <v>83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2:12" x14ac:dyDescent="0.3">
      <c r="B123" s="8" t="s">
        <v>20</v>
      </c>
      <c r="C123" s="8"/>
      <c r="D123" s="8"/>
    </row>
    <row r="124" spans="2:12" ht="15" thickBot="1" x14ac:dyDescent="0.35">
      <c r="B124" s="8"/>
      <c r="C124" s="8"/>
      <c r="D124" s="8"/>
      <c r="E124" s="6">
        <f>DATE(2022,6,30)</f>
        <v>44742</v>
      </c>
      <c r="F124" s="6">
        <f>EDATE(E124,12)</f>
        <v>45107</v>
      </c>
      <c r="G124" s="6">
        <f t="shared" ref="G124:L124" si="4">EDATE(F124,12)</f>
        <v>45473</v>
      </c>
      <c r="H124" s="6">
        <f t="shared" si="4"/>
        <v>45838</v>
      </c>
      <c r="I124" s="12">
        <f t="shared" si="4"/>
        <v>46203</v>
      </c>
      <c r="J124" s="7">
        <f t="shared" si="4"/>
        <v>46568</v>
      </c>
      <c r="K124" s="7">
        <f t="shared" si="4"/>
        <v>46934</v>
      </c>
      <c r="L124" s="7">
        <f t="shared" si="4"/>
        <v>47299</v>
      </c>
    </row>
    <row r="126" spans="2:12" x14ac:dyDescent="0.3">
      <c r="B126" t="str">
        <f>B58</f>
        <v xml:space="preserve">Account Recieveable </v>
      </c>
    </row>
    <row r="127" spans="2:12" x14ac:dyDescent="0.3">
      <c r="B127" t="str">
        <f>B59</f>
        <v xml:space="preserve">Intentory </v>
      </c>
    </row>
    <row r="128" spans="2:12" x14ac:dyDescent="0.3">
      <c r="B128" t="str">
        <f>B71</f>
        <v xml:space="preserve">Accounts Payable </v>
      </c>
    </row>
    <row r="129" spans="2:12" x14ac:dyDescent="0.3">
      <c r="B129" t="str">
        <f>B73</f>
        <v xml:space="preserve">Income Tax Payable </v>
      </c>
    </row>
    <row r="131" spans="2:12" x14ac:dyDescent="0.3">
      <c r="B131" t="str">
        <f>B13</f>
        <v xml:space="preserve">Accounts recieveable Days </v>
      </c>
    </row>
    <row r="132" spans="2:12" x14ac:dyDescent="0.3">
      <c r="B132" t="str">
        <f t="shared" ref="B132:B134" si="5">B14</f>
        <v xml:space="preserve">Inventory Days </v>
      </c>
    </row>
    <row r="133" spans="2:12" x14ac:dyDescent="0.3">
      <c r="B133" t="str">
        <f t="shared" si="5"/>
        <v xml:space="preserve">Accounts payable Days </v>
      </c>
    </row>
    <row r="134" spans="2:12" x14ac:dyDescent="0.3">
      <c r="B134" t="str">
        <f t="shared" si="5"/>
        <v>Income Tax Payable Days</v>
      </c>
    </row>
    <row r="136" spans="2:12" x14ac:dyDescent="0.3">
      <c r="B136" s="20" t="str">
        <f>B101</f>
        <v xml:space="preserve">Changes in Accounts Recieveable </v>
      </c>
    </row>
    <row r="137" spans="2:12" x14ac:dyDescent="0.3">
      <c r="B137" s="20" t="str">
        <f t="shared" ref="B137:B140" si="6">B102</f>
        <v xml:space="preserve">Changes in Inventory </v>
      </c>
    </row>
    <row r="138" spans="2:12" x14ac:dyDescent="0.3">
      <c r="B138" s="20" t="str">
        <f t="shared" si="6"/>
        <v xml:space="preserve">Changes in Accounts Payable </v>
      </c>
    </row>
    <row r="139" spans="2:12" ht="15" thickBot="1" x14ac:dyDescent="0.35">
      <c r="B139" s="20" t="str">
        <f t="shared" si="6"/>
        <v xml:space="preserve">Changes in Income Tax Payable </v>
      </c>
    </row>
    <row r="140" spans="2:12" x14ac:dyDescent="0.3">
      <c r="B140" s="16" t="str">
        <f t="shared" si="6"/>
        <v>Net Changes in Cash from Operating Activites</v>
      </c>
      <c r="E140" s="13"/>
      <c r="F140" s="13"/>
      <c r="G140" s="13"/>
      <c r="H140" s="13"/>
      <c r="I140" s="13"/>
      <c r="J140" s="13"/>
      <c r="K140" s="13"/>
      <c r="L140" s="13"/>
    </row>
    <row r="142" spans="2:12" x14ac:dyDescent="0.3">
      <c r="B142" s="2" t="s">
        <v>91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2:12" x14ac:dyDescent="0.3">
      <c r="B143" s="8" t="s">
        <v>20</v>
      </c>
      <c r="C143" s="8"/>
      <c r="D143" s="8"/>
    </row>
    <row r="144" spans="2:12" ht="15" thickBot="1" x14ac:dyDescent="0.35">
      <c r="B144" s="8"/>
      <c r="C144" s="8"/>
      <c r="D144" s="8"/>
      <c r="E144" s="6">
        <f>DATE(2022,6,30)</f>
        <v>44742</v>
      </c>
      <c r="F144" s="6">
        <f>EDATE(E144,12)</f>
        <v>45107</v>
      </c>
      <c r="G144" s="6">
        <f t="shared" ref="G144:L144" si="7">EDATE(F144,12)</f>
        <v>45473</v>
      </c>
      <c r="H144" s="6">
        <f t="shared" si="7"/>
        <v>45838</v>
      </c>
      <c r="I144" s="12">
        <f t="shared" si="7"/>
        <v>46203</v>
      </c>
      <c r="J144" s="7">
        <f t="shared" si="7"/>
        <v>46568</v>
      </c>
      <c r="K144" s="7">
        <f t="shared" si="7"/>
        <v>46934</v>
      </c>
      <c r="L144" s="7">
        <f t="shared" si="7"/>
        <v>47299</v>
      </c>
    </row>
    <row r="147" spans="2:12" x14ac:dyDescent="0.3">
      <c r="B147" t="s">
        <v>84</v>
      </c>
    </row>
    <row r="148" spans="2:12" x14ac:dyDescent="0.3">
      <c r="B148" t="str">
        <f>B19</f>
        <v xml:space="preserve">Long Term Debt Interest Rate </v>
      </c>
    </row>
    <row r="150" spans="2:12" x14ac:dyDescent="0.3">
      <c r="B150" s="20" t="str">
        <f>B147</f>
        <v xml:space="preserve">Starting Long Term Debt Balance </v>
      </c>
    </row>
    <row r="151" spans="2:12" ht="15" thickBot="1" x14ac:dyDescent="0.35">
      <c r="B151" s="20" t="s">
        <v>85</v>
      </c>
    </row>
    <row r="152" spans="2:12" x14ac:dyDescent="0.3">
      <c r="B152" s="16" t="s">
        <v>86</v>
      </c>
      <c r="E152" s="13"/>
      <c r="F152" s="13"/>
      <c r="G152" s="13"/>
      <c r="H152" s="13"/>
      <c r="I152" s="13"/>
      <c r="J152" s="13"/>
      <c r="K152" s="13"/>
      <c r="L152" s="13"/>
    </row>
    <row r="154" spans="2:12" ht="15" thickBot="1" x14ac:dyDescent="0.35">
      <c r="B154" s="20" t="str">
        <f>B148</f>
        <v xml:space="preserve">Long Term Debt Interest Rate </v>
      </c>
    </row>
    <row r="155" spans="2:12" x14ac:dyDescent="0.3">
      <c r="B155" s="16" t="s">
        <v>87</v>
      </c>
      <c r="E155" s="13"/>
      <c r="F155" s="13"/>
      <c r="G155" s="13"/>
      <c r="H155" s="13"/>
      <c r="I155" s="13"/>
      <c r="J155" s="13"/>
      <c r="K155" s="13"/>
      <c r="L155" s="13"/>
    </row>
    <row r="158" spans="2:12" x14ac:dyDescent="0.3">
      <c r="B158" t="str">
        <f>B20</f>
        <v xml:space="preserve">Beginning Short Term Debt Balance </v>
      </c>
    </row>
    <row r="159" spans="2:12" x14ac:dyDescent="0.3">
      <c r="B159" t="str">
        <f>B21</f>
        <v xml:space="preserve">Short Term Debt Interest Rate </v>
      </c>
      <c r="E159" s="15"/>
      <c r="F159" s="15"/>
      <c r="G159" s="15"/>
      <c r="H159" s="15"/>
      <c r="I159" s="15"/>
      <c r="J159" s="15"/>
      <c r="K159" s="15"/>
      <c r="L159" s="15"/>
    </row>
    <row r="161" spans="2:12" x14ac:dyDescent="0.3">
      <c r="B161" s="20" t="str">
        <f>B158</f>
        <v xml:space="preserve">Beginning Short Term Debt Balance </v>
      </c>
    </row>
    <row r="162" spans="2:12" ht="15" thickBot="1" x14ac:dyDescent="0.35">
      <c r="B162" s="20" t="s">
        <v>88</v>
      </c>
    </row>
    <row r="163" spans="2:12" x14ac:dyDescent="0.3">
      <c r="B163" s="16" t="s">
        <v>89</v>
      </c>
      <c r="E163" s="13"/>
      <c r="F163" s="13"/>
      <c r="G163" s="13"/>
      <c r="H163" s="13"/>
      <c r="I163" s="13"/>
      <c r="J163" s="13"/>
      <c r="K163" s="13"/>
      <c r="L163" s="13"/>
    </row>
    <row r="165" spans="2:12" ht="15" thickBot="1" x14ac:dyDescent="0.35">
      <c r="B165" s="20" t="str">
        <f>B159</f>
        <v xml:space="preserve">Short Term Debt Interest Rate </v>
      </c>
    </row>
    <row r="166" spans="2:12" x14ac:dyDescent="0.3">
      <c r="B166" s="16" t="s">
        <v>90</v>
      </c>
      <c r="E166" s="13"/>
      <c r="F166" s="13"/>
      <c r="G166" s="13"/>
      <c r="H166" s="13"/>
      <c r="I166" s="13"/>
      <c r="J166" s="13"/>
      <c r="K166" s="13"/>
      <c r="L166" s="13"/>
    </row>
    <row r="169" spans="2:12" x14ac:dyDescent="0.3">
      <c r="B169" s="2" t="s">
        <v>92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2:12" x14ac:dyDescent="0.3">
      <c r="B170" s="8" t="s">
        <v>20</v>
      </c>
      <c r="C170" s="8"/>
      <c r="D170" s="8"/>
    </row>
    <row r="171" spans="2:12" ht="15" thickBot="1" x14ac:dyDescent="0.35">
      <c r="B171" s="8"/>
      <c r="C171" s="8"/>
      <c r="D171" s="8"/>
      <c r="E171" s="6">
        <f>DATE(2022,6,30)</f>
        <v>44742</v>
      </c>
      <c r="F171" s="6">
        <f>EDATE(E171,12)</f>
        <v>45107</v>
      </c>
      <c r="G171" s="6">
        <f t="shared" ref="G171:L171" si="8">EDATE(F171,12)</f>
        <v>45473</v>
      </c>
      <c r="H171" s="6">
        <f t="shared" si="8"/>
        <v>45838</v>
      </c>
      <c r="I171" s="12">
        <f t="shared" si="8"/>
        <v>46203</v>
      </c>
      <c r="J171" s="7">
        <f t="shared" si="8"/>
        <v>46568</v>
      </c>
      <c r="K171" s="7">
        <f t="shared" si="8"/>
        <v>46934</v>
      </c>
      <c r="L171" s="7">
        <f t="shared" si="8"/>
        <v>47299</v>
      </c>
    </row>
    <row r="173" spans="2:12" x14ac:dyDescent="0.3">
      <c r="B173" t="s">
        <v>98</v>
      </c>
      <c r="E173">
        <v>120</v>
      </c>
    </row>
    <row r="174" spans="2:12" x14ac:dyDescent="0.3">
      <c r="B174" t="s">
        <v>93</v>
      </c>
      <c r="E174">
        <v>40</v>
      </c>
    </row>
    <row r="175" spans="2:12" x14ac:dyDescent="0.3">
      <c r="B175" t="str">
        <f t="shared" ref="B175:B176" si="9">B23</f>
        <v xml:space="preserve">Revolver Interest Rate </v>
      </c>
    </row>
    <row r="176" spans="2:12" x14ac:dyDescent="0.3">
      <c r="B176" t="str">
        <f t="shared" si="9"/>
        <v xml:space="preserve">Minimum Cash balance </v>
      </c>
      <c r="E176">
        <v>140</v>
      </c>
    </row>
    <row r="178" spans="2:12" x14ac:dyDescent="0.3">
      <c r="B178" s="20" t="str">
        <f>B174</f>
        <v xml:space="preserve">Revolver Starting Balance </v>
      </c>
      <c r="E178">
        <f>E174</f>
        <v>40</v>
      </c>
    </row>
    <row r="179" spans="2:12" x14ac:dyDescent="0.3">
      <c r="B179" s="20" t="s">
        <v>94</v>
      </c>
      <c r="E179">
        <f>MAX(E176-E173,0)</f>
        <v>20</v>
      </c>
    </row>
    <row r="180" spans="2:12" ht="15" thickBot="1" x14ac:dyDescent="0.35">
      <c r="B180" s="20" t="s">
        <v>95</v>
      </c>
      <c r="E180">
        <f>MAX(MIN(E173-E176,E178),0)</f>
        <v>0</v>
      </c>
    </row>
    <row r="181" spans="2:12" x14ac:dyDescent="0.3">
      <c r="B181" s="16" t="s">
        <v>96</v>
      </c>
      <c r="E181" s="13">
        <f>SUM(E178:E180)</f>
        <v>60</v>
      </c>
      <c r="F181" s="13"/>
      <c r="G181" s="13"/>
      <c r="H181" s="13"/>
      <c r="I181" s="13"/>
      <c r="J181" s="13"/>
      <c r="K181" s="13"/>
      <c r="L181" s="13"/>
    </row>
    <row r="183" spans="2:12" ht="15" thickBot="1" x14ac:dyDescent="0.35">
      <c r="B183" s="20" t="str">
        <f>B175</f>
        <v xml:space="preserve">Revolver Interest Rate </v>
      </c>
    </row>
    <row r="184" spans="2:12" x14ac:dyDescent="0.3">
      <c r="B184" s="16" t="s">
        <v>99</v>
      </c>
      <c r="E184" s="13"/>
      <c r="F184" s="13"/>
      <c r="G184" s="13"/>
      <c r="H184" s="13"/>
      <c r="I184" s="13"/>
      <c r="J184" s="13"/>
      <c r="K184" s="13"/>
      <c r="L184" s="13"/>
    </row>
    <row r="187" spans="2:12" x14ac:dyDescent="0.3">
      <c r="B187" s="2" t="s">
        <v>97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2:12" x14ac:dyDescent="0.3">
      <c r="B188" s="8" t="s">
        <v>20</v>
      </c>
      <c r="C188" s="8"/>
      <c r="D188" s="8"/>
    </row>
    <row r="189" spans="2:12" ht="15" thickBot="1" x14ac:dyDescent="0.35">
      <c r="B189" s="8"/>
      <c r="C189" s="8"/>
      <c r="D189" s="8"/>
      <c r="E189" s="6">
        <f>DATE(2022,6,30)</f>
        <v>44742</v>
      </c>
      <c r="F189" s="6">
        <f>EDATE(E189,12)</f>
        <v>45107</v>
      </c>
      <c r="G189" s="6">
        <f t="shared" ref="G189:L189" si="10">EDATE(F189,12)</f>
        <v>45473</v>
      </c>
      <c r="H189" s="6">
        <f t="shared" si="10"/>
        <v>45838</v>
      </c>
      <c r="I189" s="12">
        <f t="shared" si="10"/>
        <v>46203</v>
      </c>
      <c r="J189" s="7">
        <f t="shared" si="10"/>
        <v>46568</v>
      </c>
      <c r="K189" s="7">
        <f t="shared" si="10"/>
        <v>46934</v>
      </c>
      <c r="L189" s="7">
        <f t="shared" si="10"/>
        <v>47299</v>
      </c>
    </row>
    <row r="191" spans="2:12" x14ac:dyDescent="0.3">
      <c r="B191" t="str">
        <f>B31</f>
        <v xml:space="preserve">Revenue </v>
      </c>
    </row>
    <row r="192" spans="2:12" x14ac:dyDescent="0.3">
      <c r="B192" t="str">
        <f>B63</f>
        <v xml:space="preserve">PP&amp;E </v>
      </c>
    </row>
    <row r="193" spans="2:12" x14ac:dyDescent="0.3">
      <c r="B193" t="str">
        <f>B10</f>
        <v>Deprecitiation (% of PP&amp;E)</v>
      </c>
    </row>
    <row r="194" spans="2:12" x14ac:dyDescent="0.3">
      <c r="B194" t="str">
        <f>B12</f>
        <v>Capital Expenditure (As a % of revenue)</v>
      </c>
    </row>
    <row r="196" spans="2:12" x14ac:dyDescent="0.3">
      <c r="B196" s="20" t="s">
        <v>100</v>
      </c>
    </row>
    <row r="197" spans="2:12" x14ac:dyDescent="0.3">
      <c r="B197" s="20" t="s">
        <v>101</v>
      </c>
    </row>
    <row r="198" spans="2:12" ht="15" thickBot="1" x14ac:dyDescent="0.35">
      <c r="B198" s="20" t="s">
        <v>102</v>
      </c>
    </row>
    <row r="199" spans="2:12" x14ac:dyDescent="0.3">
      <c r="B199" s="16" t="s">
        <v>103</v>
      </c>
      <c r="E199" s="13"/>
      <c r="F199" s="13"/>
      <c r="G199" s="13"/>
      <c r="H199" s="13"/>
      <c r="I199" s="13"/>
      <c r="J199" s="13"/>
      <c r="K199" s="13"/>
      <c r="L199" s="13"/>
    </row>
    <row r="202" spans="2:12" x14ac:dyDescent="0.3">
      <c r="B202" s="2" t="s">
        <v>104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2:12" x14ac:dyDescent="0.3">
      <c r="B203" s="8" t="s">
        <v>20</v>
      </c>
      <c r="C203" s="8"/>
      <c r="D203" s="8"/>
    </row>
    <row r="204" spans="2:12" ht="15" thickBot="1" x14ac:dyDescent="0.35">
      <c r="B204" s="8"/>
      <c r="C204" s="8"/>
      <c r="D204" s="8"/>
      <c r="E204" s="6">
        <f>DATE(2022,6,30)</f>
        <v>44742</v>
      </c>
      <c r="F204" s="6">
        <f>EDATE(E204,12)</f>
        <v>45107</v>
      </c>
      <c r="G204" s="6">
        <f t="shared" ref="G204:L204" si="11">EDATE(F204,12)</f>
        <v>45473</v>
      </c>
      <c r="H204" s="6">
        <f t="shared" si="11"/>
        <v>45838</v>
      </c>
      <c r="I204" s="12">
        <f t="shared" si="11"/>
        <v>46203</v>
      </c>
      <c r="J204" s="7">
        <f t="shared" si="11"/>
        <v>46568</v>
      </c>
      <c r="K204" s="7">
        <f t="shared" si="11"/>
        <v>46934</v>
      </c>
      <c r="L204" s="7">
        <f t="shared" si="11"/>
        <v>47299</v>
      </c>
    </row>
    <row r="206" spans="2:12" x14ac:dyDescent="0.3">
      <c r="B206" s="16" t="s">
        <v>58</v>
      </c>
    </row>
    <row r="207" spans="2:12" x14ac:dyDescent="0.3">
      <c r="B207" s="20" t="str">
        <f>B17</f>
        <v xml:space="preserve">Beginning Equity </v>
      </c>
    </row>
    <row r="208" spans="2:12" ht="15" thickBot="1" x14ac:dyDescent="0.35">
      <c r="B208" s="20" t="str">
        <f>B113</f>
        <v xml:space="preserve">Offering (Buyback) of Equity </v>
      </c>
    </row>
    <row r="209" spans="2:12" x14ac:dyDescent="0.3">
      <c r="B209" s="22" t="s">
        <v>105</v>
      </c>
      <c r="E209" s="13"/>
      <c r="F209" s="13"/>
      <c r="G209" s="13"/>
      <c r="H209" s="13"/>
      <c r="I209" s="13"/>
      <c r="J209" s="13"/>
      <c r="K209" s="13"/>
      <c r="L209" s="13"/>
    </row>
    <row r="211" spans="2:12" x14ac:dyDescent="0.3">
      <c r="B211" s="16" t="s">
        <v>59</v>
      </c>
    </row>
    <row r="212" spans="2:12" x14ac:dyDescent="0.3">
      <c r="B212" s="21" t="s">
        <v>106</v>
      </c>
    </row>
    <row r="213" spans="2:12" x14ac:dyDescent="0.3">
      <c r="B213" s="21" t="s">
        <v>65</v>
      </c>
    </row>
    <row r="214" spans="2:12" ht="15" thickBot="1" x14ac:dyDescent="0.35">
      <c r="B214" s="21" t="s">
        <v>34</v>
      </c>
    </row>
    <row r="215" spans="2:12" x14ac:dyDescent="0.3">
      <c r="B215" s="22" t="s">
        <v>107</v>
      </c>
      <c r="E215" s="13"/>
      <c r="F215" s="13"/>
      <c r="G215" s="13"/>
      <c r="H215" s="13"/>
      <c r="I215" s="13"/>
      <c r="J215" s="13"/>
      <c r="K215" s="13"/>
      <c r="L215" s="13"/>
    </row>
  </sheetData>
  <mergeCells count="9">
    <mergeCell ref="B170:D171"/>
    <mergeCell ref="B188:D189"/>
    <mergeCell ref="B203:D204"/>
    <mergeCell ref="B3:D4"/>
    <mergeCell ref="B28:D29"/>
    <mergeCell ref="B53:D54"/>
    <mergeCell ref="B94:D95"/>
    <mergeCell ref="B123:D124"/>
    <mergeCell ref="B143:D1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Schwochow</dc:creator>
  <cp:lastModifiedBy>Cole Schwochow</cp:lastModifiedBy>
  <dcterms:created xsi:type="dcterms:W3CDTF">2026-09-01T23:35:39Z</dcterms:created>
  <dcterms:modified xsi:type="dcterms:W3CDTF">2026-09-02T00:55:20Z</dcterms:modified>
</cp:coreProperties>
</file>